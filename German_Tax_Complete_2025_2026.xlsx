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3"/>
    <sheet name="2025" sheetId="2" state="visible" r:id="rId4"/>
    <sheet name="2026" sheetId="3" state="visible" r:id="rId5"/>
    <sheet name="📋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<sst xmlns="http://schemas.openxmlformats.org/spreadsheetml/2006/main" count="849" uniqueCount="499">
  <si>
    <t xml:space="preserve">German Tax Rates &amp; Parameters — 2025 and 2026  |  All blue cells are editable</t>
  </si>
  <si>
    <t xml:space="preserve">  INCOME TAX — §32a EStG</t>
  </si>
  <si>
    <t xml:space="preserve">Parameter</t>
  </si>
  <si>
    <t xml:space="preserve">2025 Value</t>
  </si>
  <si>
    <t xml:space="preserve">2026 Value</t>
  </si>
  <si>
    <t xml:space="preserve">Notes</t>
  </si>
  <si>
    <t xml:space="preserve">Grundfreibetrag (basic tax-free allowance)</t>
  </si>
  <si>
    <t xml:space="preserve">Source: §32a EStG 2025/2026</t>
  </si>
  <si>
    <t xml:space="preserve">Zone 2 upper boundary</t>
  </si>
  <si>
    <t xml:space="preserve">Approx. — zone 2/3 split</t>
  </si>
  <si>
    <t xml:space="preserve">Zone 3 upper boundary (42% starts from)</t>
  </si>
  <si>
    <t xml:space="preserve">42% top rate threshold</t>
  </si>
  <si>
    <t xml:space="preserve">Reichensteuer upper (45% starts from)</t>
  </si>
  <si>
    <t xml:space="preserve">§32a EStG Abs.5</t>
  </si>
  <si>
    <t xml:space="preserve">Top marginal rate (42%)</t>
  </si>
  <si>
    <t xml:space="preserve">Applies above zone 3 boundary</t>
  </si>
  <si>
    <t xml:space="preserve">Solidarity surcharge rate</t>
  </si>
  <si>
    <t xml:space="preserve">5.5% of income tax</t>
  </si>
  <si>
    <t xml:space="preserve">Soli exemption threshold (income tax amount)</t>
  </si>
  <si>
    <t xml:space="preserve">Exempt if income tax ≤ this</t>
  </si>
  <si>
    <t xml:space="preserve">Church tax rate (Bavaria &amp; BW = 8%, others = 9%)</t>
  </si>
  <si>
    <t xml:space="preserve">9% default; Bavaria/BW use 8%</t>
  </si>
  <si>
    <t xml:space="preserve">  SOCIAL SECURITY CONTRIBUTION RATES (employee share)</t>
  </si>
  <si>
    <t xml:space="preserve">Pension insurance (Rentenversicherung) — employee</t>
  </si>
  <si>
    <t xml:space="preserve">9.3% of 18.6% total</t>
  </si>
  <si>
    <t xml:space="preserve">Health insurance base rate — employee (7.3% of 14.6%)</t>
  </si>
  <si>
    <t xml:space="preserve">Same for all public funds</t>
  </si>
  <si>
    <t xml:space="preserve">TK Zusatzbeitrag — employee share (TK-specific)</t>
  </si>
  <si>
    <t xml:space="preserve">2.45%/2=1.225% (2025); 2.69%/2=1.345% (2026)</t>
  </si>
  <si>
    <t xml:space="preserve">TK total health rate (employee) = base + Zusatz</t>
  </si>
  <si>
    <t xml:space="preserve">Employee half of TK total: 7.3% base + half of 2.45% (2025) or 2.69% (2026)</t>
  </si>
  <si>
    <t xml:space="preserve">Long-term care — base (employee) — with child</t>
  </si>
  <si>
    <t xml:space="preserve">1.8% employer always; employee: 1.8% if ≥1 child</t>
  </si>
  <si>
    <t xml:space="preserve">Long-term care — childless surcharge (employee)</t>
  </si>
  <si>
    <t xml:space="preserve">Additional 0.6% if no children (over 23)</t>
  </si>
  <si>
    <t xml:space="preserve">Long-term care — 2nd child reduction per child</t>
  </si>
  <si>
    <t xml:space="preserve">−0.25% per child (2nd-5th) from employee share</t>
  </si>
  <si>
    <t xml:space="preserve">Unemployment insurance (Arbeitslosenversicherung) — employee</t>
  </si>
  <si>
    <t xml:space="preserve">1.3% of 2.6% total</t>
  </si>
  <si>
    <t xml:space="preserve">  SOCIAL SECURITY CONTRIBUTION CEILINGS (Beitragsbemessungsgrenzen)</t>
  </si>
  <si>
    <t xml:space="preserve">Health &amp; care insurance ceiling (annual)</t>
  </si>
  <si>
    <t xml:space="preserve">Above = no health/care contributions</t>
  </si>
  <si>
    <t xml:space="preserve">Pension &amp; unemployment ceiling (annual)</t>
  </si>
  <si>
    <t xml:space="preserve">Above = no pension/unemp contributions</t>
  </si>
  <si>
    <t xml:space="preserve">Compulsory public health insurance limit (JAEG)</t>
  </si>
  <si>
    <t xml:space="preserve">Above = can choose private insurance</t>
  </si>
  <si>
    <t xml:space="preserve">  LUMP-SUM ALLOWANCES (Pauschbeträge)</t>
  </si>
  <si>
    <t xml:space="preserve">Employee expense flat-rate (Arbeitnehmer-Pauschbetrag)</t>
  </si>
  <si>
    <t xml:space="preserve">Applied automatically — deduct more only if higher</t>
  </si>
  <si>
    <t xml:space="preserve">Saver's allowance — single (Sparer-Pauschbetrag)</t>
  </si>
  <si>
    <t xml:space="preserve">€2,000 for married</t>
  </si>
  <si>
    <t xml:space="preserve">Homeoffice-Pauschale (per WFH day)</t>
  </si>
  <si>
    <t xml:space="preserve">Max 210 days = €1,260/year</t>
  </si>
  <si>
    <t xml:space="preserve">Small equipment immediate write-off threshold (net)</t>
  </si>
  <si>
    <t xml:space="preserve">Below = fully deductible in purchase year</t>
  </si>
  <si>
    <t xml:space="preserve">Commuter allowance — per km (first 20km)</t>
  </si>
  <si>
    <t xml:space="preserve">2025: 30¢/km 1st 20km; 2026: 38¢/km from km 1</t>
  </si>
  <si>
    <t xml:space="preserve">Commuter allowance — per km (from km 21)</t>
  </si>
  <si>
    <t xml:space="preserve">2025: 38¢ from km 21; 2026: same rate from km 1</t>
  </si>
  <si>
    <t xml:space="preserve">Commuter allowance — changeover km (2025=20, 2026=0)</t>
  </si>
  <si>
    <t xml:space="preserve">2026: 38¢ applies from km 1</t>
  </si>
  <si>
    <t xml:space="preserve">Internet/phone max monthly deduction</t>
  </si>
  <si>
    <t xml:space="preserve">Max 20% of bill, capped at €20/month</t>
  </si>
  <si>
    <t xml:space="preserve">Internet/phone deductible percentage</t>
  </si>
  <si>
    <t xml:space="preserve">20% of monthly bill</t>
  </si>
  <si>
    <t xml:space="preserve">Pension contribution max deduction (Sonderausgaben)</t>
  </si>
  <si>
    <t xml:space="preserve">Annual max for pension contributions</t>
  </si>
  <si>
    <t xml:space="preserve">Extraordinary burden base rate (zumutbare Belastung) — income 51k-102k, single</t>
  </si>
  <si>
    <t xml:space="preserve">3% of income (bracket 2 of §33 EStG)</t>
  </si>
  <si>
    <t xml:space="preserve">Disability flat-rate (Behinderten-Pauschbetrag) GdB 20</t>
  </si>
  <si>
    <t xml:space="preserve">GdB 20=384; 30=620; 40=860; 50=1140; 60=1440; 70=1780; 80=2120; 90=2460; 100=2840</t>
  </si>
  <si>
    <t xml:space="preserve">Child allowance (Kinderfreibetrag) — per child</t>
  </si>
  <si>
    <t xml:space="preserve">Total both parents; single parent gets full</t>
  </si>
  <si>
    <t xml:space="preserve">Child benefit (Kindergeld) — per child per month</t>
  </si>
  <si>
    <t xml:space="preserve">Monthly payment (not a deduction)</t>
  </si>
  <si>
    <t xml:space="preserve">  CAPITAL GAINS &amp; INVESTMENT INCOME RATES</t>
  </si>
  <si>
    <t xml:space="preserve">Abgeltungsteuer flat rate on capital gains</t>
  </si>
  <si>
    <t xml:space="preserve">25% flat on dividends, interest, gains</t>
  </si>
  <si>
    <t xml:space="preserve">Soli on Abgeltungsteuer</t>
  </si>
  <si>
    <t xml:space="preserve">5.5% of capital gains tax (full rate, always)</t>
  </si>
  <si>
    <t xml:space="preserve">Church tax on Abgeltungsteuer</t>
  </si>
  <si>
    <t xml:space="preserve">If applicable — enter your state's rate</t>
  </si>
  <si>
    <t xml:space="preserve">Effective total rate on capital gains (no church)</t>
  </si>
  <si>
    <t xml:space="preserve">26.375% = 25% + 5.5% Soli</t>
  </si>
  <si>
    <t xml:space="preserve">  RENTAL INCOME</t>
  </si>
  <si>
    <t xml:space="preserve">Depreciation rate for residential property (AfA)</t>
  </si>
  <si>
    <t xml:space="preserve">2% per year on building value (pre-2023 builds)</t>
  </si>
  <si>
    <t xml:space="preserve">Depreciation rate for newer residential property</t>
  </si>
  <si>
    <t xml:space="preserve">3% for buildings completed after 31.12.2022</t>
  </si>
  <si>
    <t xml:space="preserve">🇩🇪  Complete German Income Tax Calculator — Tax Year 2025  |  Blue cells = your inputs</t>
  </si>
  <si>
    <t xml:space="preserve">  COLOUR GUIDE:  🔵 Blue = your input  |  🟢 Green = auto-calculated  |  Yellow bg = input area  |  Blue bg = result  |  All amounts in EUR</t>
  </si>
  <si>
    <t xml:space="preserve">  RATES REFERENCE — Auto-pulled from 'Rates' sheet for 2025  (change rates there if needed)</t>
  </si>
  <si>
    <t xml:space="preserve">  SECTION 0 — PERSONAL DETAILS (affects tax class, allowances, surcharges)</t>
  </si>
  <si>
    <t xml:space="preserve">  Tax class (Steuerklasse): 1=Single, 2=Single parent, 3=Married high earner, 4=Married equal, 5=Married low earner</t>
  </si>
  <si>
    <t xml:space="preserve">1=Single/divorced/widowed. Affects monthly withholding only, not final liability.</t>
  </si>
  <si>
    <t xml:space="preserve">  Church tax applicable? Enter 1 for YES, 0 for NO</t>
  </si>
  <si>
    <t xml:space="preserve">If registered with Catholic/Protestant church. Rate varies by state (8% Bavaria/BW, 9% others).</t>
  </si>
  <si>
    <t xml:space="preserve">  Number of children under 25 (for care insurance &amp; child allowance)</t>
  </si>
  <si>
    <t xml:space="preserve">Affects long-term care rate (−0.25% per child from 2nd). Also drives Kinderfreibetrag.</t>
  </si>
  <si>
    <t xml:space="preserve">  Degree of disability (GdB): 0 if none, else 20/30/40/50/60/70/80/90/100</t>
  </si>
  <si>
    <t xml:space="preserve">Grants flat-rate deduction (Behinderten-Pauschbetrag). GdB 50=€1,140, 100=€2,840.</t>
  </si>
  <si>
    <t xml:space="preserve">  Blind or severely disabled with care needs? Enter 1 for YES, 0 for NO</t>
  </si>
  <si>
    <t xml:space="preserve">Additional Pflegepauschbetrag or Blindenpauschbetrag may apply.</t>
  </si>
  <si>
    <t xml:space="preserve">  Months resident/employed in Germany (12 if full year)</t>
  </si>
  <si>
    <t xml:space="preserve">Pro-rates Grundfreibetrag for part-year residents. Usually 12.</t>
  </si>
  <si>
    <t xml:space="preserve">  SECTION 1 — ALL INCOME SOURCES (§2 EStG — enter what applies to you)</t>
  </si>
  <si>
    <t xml:space="preserve">  1A  EMPLOYMENT INCOME (Einkünfte aus nichtselbstständiger Arbeit — §19 EStG)</t>
  </si>
  <si>
    <t xml:space="preserve">  Monthly gross salary — enter 0 for months not worked</t>
  </si>
  <si>
    <t xml:space="preserve">TOTAL</t>
  </si>
  <si>
    <t xml:space="preserve">Annual salary if all 12 months = monthly × 12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</si>
  <si>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</si>
  <si>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</si>
  <si>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</si>
  <si>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</si>
  <si>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</si>
  <si>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</si>
  <si>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</si>
  <si>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</si>
  <si>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</si>
  <si>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Annual</t>
  </si>
  <si>
    <t xml:space="preserve">Nov</t>
  </si>
  <si>
    <t xml:space="preserve">Dec</t>
  </si>
  <si>
    <t xml:space="preserve">Oct</t>
  </si>
  <si>
    <t xml:space="preserve">  Primary employer (Hauptarbeitgeber)</t>
  </si>
  <si>
    <t xml:space="preserve">  Secondary employer / mini-job (if any)</t>
  </si>
  <si>
    <t xml:space="preserve">  Severance / termination payment (Abfindung)</t>
  </si>
  <si>
    <t xml:space="preserve">  Bonus / 13th month salary (Einmalzahlungen)</t>
  </si>
  <si>
    <t xml:space="preserve">  Employer reimbursements received (tax-free allowances e.g. Verpflegungsmehraufwand, tools)</t>
  </si>
  <si>
    <t xml:space="preserve">Tax-free employer payments — do NOT add to taxable income. List here for awareness only.</t>
  </si>
  <si>
    <t xml:space="preserve">  TOTAL GROSS EMPLOYMENT INCOME</t>
  </si>
  <si>
    <t xml:space="preserve">Sum of all employment sources</t>
  </si>
  <si>
    <t xml:space="preserve">  1B  SELF-EMPLOYMENT / FREELANCE INCOME (Einkünfte aus selbstständiger Arbeit — §18 EStG)</t>
  </si>
  <si>
    <t xml:space="preserve">  Freelance / consulting revenue (gross)</t>
  </si>
  <si>
    <t xml:space="preserve">Before business expenses. Declare in Anlage S.</t>
  </si>
  <si>
    <t xml:space="preserve">  Business expenses (Betriebsausgaben) — allowable deductions</t>
  </si>
  <si>
    <t xml:space="preserve">Equipment, software, professional fees, travel for client work, etc.</t>
  </si>
  <si>
    <t xml:space="preserve">  Net freelance income</t>
  </si>
  <si>
    <t xml:space="preserve">Revenue minus business expenses</t>
  </si>
  <si>
    <t xml:space="preserve">  1C  TRADE / BUSINESS INCOME (Einkünfte aus Gewerbebetrieb — §15 EStG)</t>
  </si>
  <si>
    <t xml:space="preserve">  Business profit (Gewinn) — after all business expenses</t>
  </si>
  <si>
    <t xml:space="preserve">Declare in Anlage G. Subject to trade tax (Gewerbesteuer) separately.</t>
  </si>
  <si>
    <t xml:space="preserve">  Trade tax credit (Gewerbesteuer-Anrechnung §35 EStG)</t>
  </si>
  <si>
    <t xml:space="preserve">3.8 × trade tax base rate offsets income tax. Enter credit amount.</t>
  </si>
  <si>
    <t xml:space="preserve">  1D  RENTAL &amp; LEASING INCOME (Einkünfte aus Vermietung — §21 EStG)</t>
  </si>
  <si>
    <t xml:space="preserve">  Total rental income received (gross, all properties)</t>
  </si>
  <si>
    <t xml:space="preserve">Include all rent + ancillary cost reimbursements received.</t>
  </si>
  <si>
    <t xml:space="preserve">  Mortgage interest on rental property (Schuldzinsen)</t>
  </si>
  <si>
    <t xml:space="preserve">Fully deductible against rental income.</t>
  </si>
  <si>
    <t xml:space="preserve">  Depreciation (AfA) — enter annual amount</t>
  </si>
  <si>
    <t xml:space="preserve">2% (old) or 3% (post-2022) of building value. Rates sheet has rates.</t>
  </si>
  <si>
    <t xml:space="preserve">  Maintenance &amp; repair costs (Erhaltungsaufwand)</t>
  </si>
  <si>
    <t xml:space="preserve">Fully deductible. Large one-offs can be spread over 2-5 years.</t>
  </si>
  <si>
    <t xml:space="preserve">  Property management fees, insurance, property tax</t>
  </si>
  <si>
    <t xml:space="preserve">Hausverwaltung, Versicherung, Grundsteuer — all deductible.</t>
  </si>
  <si>
    <t xml:space="preserve">  Other rental expenses (advertising, legal, travel to property)</t>
  </si>
  <si>
    <t xml:space="preserve">All provable expenses incurred to generate rental income.</t>
  </si>
  <si>
    <t xml:space="preserve">  Net rental income / loss</t>
  </si>
  <si>
    <t xml:space="preserve">Can be negative (Verlustvortrag). Losses offset other income.</t>
  </si>
  <si>
    <t xml:space="preserve">  1E  CAPITAL INVESTMENT INCOME (Einkünfte aus Kapitalvermögen — §20 EStG)</t>
  </si>
  <si>
    <t xml:space="preserve">  Dividends from German companies (gross, before KESt)</t>
  </si>
  <si>
    <t xml:space="preserve">German dividends taxed at 25% Abgeltungsteuer. Already withheld by bank.</t>
  </si>
  <si>
    <t xml:space="preserve">  Dividends from foreign companies (gross)</t>
  </si>
  <si>
    <t xml:space="preserve">Foreign withholding tax may be offset via Anlage KAP.</t>
  </si>
  <si>
    <t xml:space="preserve">  Interest income — savings, bonds, P2P lending (gross)</t>
  </si>
  <si>
    <t xml:space="preserve">Bank savings, Tagesgeld, Festgeld, bonds. Withheld at 25%.</t>
  </si>
  <si>
    <t xml:space="preserve">  ETF / fund distributions (Ausschüttungen, gross)</t>
  </si>
  <si>
    <t xml:space="preserve">Includes Vorabpauschale for accumulating funds (auto-calculated by broker).</t>
  </si>
  <si>
    <t xml:space="preserve">  Realised gains from selling shares/ETFs (gross profit)</t>
  </si>
  <si>
    <t xml:space="preserve">Purchase price minus selling price. Enter net gain (after losses netted).</t>
  </si>
  <si>
    <t xml:space="preserve">  Capital losses to offset (Verlustverrechnungstopf)</t>
  </si>
  <si>
    <t xml:space="preserve">Losses from stock sales offset gains. Bank tracks automatically.</t>
  </si>
  <si>
    <t xml:space="preserve">  Foreign withholding tax already paid (on foreign dividends)</t>
  </si>
  <si>
    <t xml:space="preserve">Creditable against German Abgeltungsteuer (up to 15% per treaty).</t>
  </si>
  <si>
    <t xml:space="preserve">  Total gross capital income</t>
  </si>
  <si>
    <t xml:space="preserve">Before allowance deduction</t>
  </si>
  <si>
    <t xml:space="preserve">  Sparer-Pauschbetrag (saver's allowance)</t>
  </si>
  <si>
    <t xml:space="preserve">Deducted from capital income. Ref: Rates sheet.</t>
  </si>
  <si>
    <t xml:space="preserve">  Taxable capital income (after allowance)</t>
  </si>
  <si>
    <t xml:space="preserve">Subject to 25% Abgeltungsteuer</t>
  </si>
  <si>
    <t xml:space="preserve">  Capital gains tax (Abgeltungsteuer 25%)</t>
  </si>
  <si>
    <t xml:space="preserve">25% flat</t>
  </si>
  <si>
    <t xml:space="preserve">  Soli on capital gains tax (5.5%)</t>
  </si>
  <si>
    <t xml:space="preserve">Always 5.5% (no exemption for capital gains Soli)</t>
  </si>
  <si>
    <t xml:space="preserve">  Church tax on capital gains (if applicable)</t>
  </si>
  <si>
    <t xml:space="preserve">Only if church registered</t>
  </si>
  <si>
    <t xml:space="preserve">  Foreign tax credit on capital gains (reduces tax)</t>
  </si>
  <si>
    <t xml:space="preserve">Foreign WHT credited against German Abgeltungsteuer</t>
  </si>
  <si>
    <t xml:space="preserve">  TOTAL TAX ON CAPITAL INCOME</t>
  </si>
  <si>
    <t xml:space="preserve">Note: Capital income is NOT added to income for progressive tax (unless Günstigerprüfung elected)</t>
  </si>
  <si>
    <t xml:space="preserve">  Elect Günstigerprüfung? (1=YES if your progressive rate &lt; 25%)</t>
  </si>
  <si>
    <t xml:space="preserve">If your marginal tax rate &lt; 25%, fold capital income into progressive tax — can reduce overall tax. Set =1 to add capital income to zvE below.</t>
  </si>
  <si>
    <t xml:space="preserve">  1F  OTHER INCOME (Sonstige Einkünfte — §22 EStG)</t>
  </si>
  <si>
    <t xml:space="preserve">  Statutory pension income (gesetzliche Rente, taxable portion)</t>
  </si>
  <si>
    <t xml:space="preserve">Only taxable portion (depends on year pension started). Enter already-adjusted taxable amount.</t>
  </si>
  <si>
    <t xml:space="preserve">  Private pension / annuity payments (Leibrente, ertragsanteil only)</t>
  </si>
  <si>
    <t xml:space="preserve">Only the Ertragsanteil is taxable — check your pension statement.</t>
  </si>
  <si>
    <t xml:space="preserve">  Maintenance/alimony received (Unterhalt, if Realsplitting elected)</t>
  </si>
  <si>
    <t xml:space="preserve">Taxable if payer deducts as Sonderausgaben. Declare in Anlage SO.</t>
  </si>
  <si>
    <t xml:space="preserve">  Private sale gains within holding period (Spekulationsgewinne §23)</t>
  </si>
  <si>
    <t xml:space="preserve">Property sold &lt; 10 years (unless owner-occupied). Stocks/crypto &lt; 1 year.</t>
  </si>
  <si>
    <t xml:space="preserve">  Cryptocurrency gains (taxable if held &lt; 1 year, §23 EStG)</t>
  </si>
  <si>
    <t xml:space="preserve">Tax-free if held &gt; 1 year. &lt; 1 year: taxed at progressive rate as other income.</t>
  </si>
  <si>
    <t xml:space="preserve">  Other miscellaneous income (§22 EStG)</t>
  </si>
  <si>
    <t xml:space="preserve">Occasional income, subletting income above threshold, etc.</t>
  </si>
  <si>
    <t xml:space="preserve">  Total other income</t>
  </si>
  <si>
    <t xml:space="preserve">  TOTAL GROSS INCOME (Gesamtbetrag aller Einkünfte)</t>
  </si>
  <si>
    <t xml:space="preserve">All income streams combined (capital income added only if Günstigerprüfung elected)</t>
  </si>
  <si>
    <t xml:space="preserve">  SECTION 2 — EMPLOYMENT DEDUCTIONS (Werbungskosten — §9 EStG)</t>
  </si>
  <si>
    <t xml:space="preserve">  2A  COMMUTING (Pendlerpauschale / Entfernungspauschale)</t>
  </si>
  <si>
    <t xml:space="preserve">  One-way distance to workplace (km)</t>
  </si>
  <si>
    <t xml:space="preserve">Enter distance in km (one-way only, not return).</t>
  </si>
  <si>
    <t xml:space="preserve">  Actual commuting days to office per year (not WFH days)</t>
  </si>
  <si>
    <t xml:space="preserve">Full-year employed = 230 average. Adjust for part-year.</t>
  </si>
  <si>
    <t xml:space="preserve">  Actual ticket cost (annual) — e.g. Deutschlandticket</t>
  </si>
  <si>
    <t xml:space="preserve">€63 × 12 = €756. Deduct actual cost if higher than km allowance.</t>
  </si>
  <si>
    <t xml:space="preserve">  Commuting allowance (km-based formula)</t>
  </si>
  <si>
    <t xml:space="preserve">2025: 30¢ first 20km, 38¢ beyond</t>
  </si>
  <si>
    <t xml:space="preserve">  Commuting deduction (higher of km-allowance vs actual ticket)</t>
  </si>
  <si>
    <t xml:space="preserve">Takes the higher of the two — Deutschland Ticket usually wins</t>
  </si>
  <si>
    <t xml:space="preserve">  2B  HOME OFFICE (Homeoffice-Pauschale — §4 Abs.5 EStG)</t>
  </si>
  <si>
    <t xml:space="preserve">  WFH days exclusively at home (max 210)</t>
  </si>
  <si>
    <t xml:space="preserve">Max 210 days × €6 = €1,260. Cannot combine with commuting for same day.</t>
  </si>
  <si>
    <t xml:space="preserve">  Home office deduction (Homeoffice-Pauschale)</t>
  </si>
  <si>
    <t xml:space="preserve">Min(days,210) × €6</t>
  </si>
  <si>
    <t xml:space="preserve">  Dedicated home office room costs (Arbeitszimmer) — if applicable</t>
  </si>
  <si>
    <t xml:space="preserve">If home office is centre of work: actual costs OR €1,260 flat. Cannot combine with Homeoffice-Pauschale.</t>
  </si>
  <si>
    <t xml:space="preserve">  Home office total (Pauschale OR Arbeitszimmer, not both)</t>
  </si>
  <si>
    <t xml:space="preserve">Uses whichever is higher — cannot claim both</t>
  </si>
  <si>
    <t xml:space="preserve">  2C  WORK EQUIPMENT (Arbeitsmittel — §9 Abs.1 Nr.6 EStG)</t>
  </si>
  <si>
    <t xml:space="preserve">  Computer / laptop (50% of cost, or 100% if exclusively work)</t>
  </si>
  <si>
    <t xml:space="preserve">50% default without proof. Items ≤ €800 net: deduct in full in purchase year.</t>
  </si>
  <si>
    <t xml:space="preserve">  Smartphone (work-use portion, usually 50%)</t>
  </si>
  <si>
    <t xml:space="preserve">50% default without proof. Enter your portion.</t>
  </si>
  <si>
    <t xml:space="preserve">  Desk, office chair, monitor, peripherals</t>
  </si>
  <si>
    <t xml:space="preserve">Items ≤ €800 net each: deduct 100% in purchase year.</t>
  </si>
  <si>
    <t xml:space="preserve">  Software, subscriptions for work (annual)</t>
  </si>
  <si>
    <t xml:space="preserve">Work-related software licences, cloud storage for work, etc.</t>
  </si>
  <si>
    <t xml:space="preserve">  Other work tools, PPE, briefcase, uniform cleaning</t>
  </si>
  <si>
    <t xml:space="preserve">Work clothes must be mandatory uniform — not civilian clothes.</t>
  </si>
  <si>
    <t xml:space="preserve">  Professional books, journals, magazines</t>
  </si>
  <si>
    <t xml:space="preserve">Must be directly work-related.</t>
  </si>
  <si>
    <t xml:space="preserve">  Total work equipment deduction</t>
  </si>
  <si>
    <t xml:space="preserve">  2D  COMMUNICATIONS (Internet, Phone)</t>
  </si>
  <si>
    <t xml:space="preserve">  Monthly internet + phone bill (total)</t>
  </si>
  <si>
    <t xml:space="preserve">Max deductible: 20% of bill, capped at €20/month.</t>
  </si>
  <si>
    <t xml:space="preserve">  Internet/phone deduction (12 months)</t>
  </si>
  <si>
    <t xml:space="preserve">Min(€20, 20% of bill) × 12</t>
  </si>
  <si>
    <t xml:space="preserve">  2E  BUSINESS TRAVEL &amp; TRAINING</t>
  </si>
  <si>
    <t xml:space="preserve">  Business trips / client visits (actual costs: transport, hotel)</t>
  </si>
  <si>
    <t xml:space="preserve">Meals deductible as Verpflegungsmehraufwand: €14/day domestic (&lt;8h), €28/day (&gt;8h).</t>
  </si>
  <si>
    <t xml:space="preserve">  Job-related training &amp; education (Fortbildungskosten)</t>
  </si>
  <si>
    <t xml:space="preserve">Courses, certifications, conferences for your current job.</t>
  </si>
  <si>
    <t xml:space="preserve">  Job application costs (postage, photos, travel to interviews)</t>
  </si>
  <si>
    <t xml:space="preserve">If actively job-seeking. Usually small amount.</t>
  </si>
  <si>
    <t xml:space="preserve">  2F  UNION / PROFESSIONAL MEMBERSHIP</t>
  </si>
  <si>
    <t xml:space="preserve">  Trade union dues (Gewerkschaftsbeiträge)</t>
  </si>
  <si>
    <t xml:space="preserve">Fully deductible as Werbungskosten.</t>
  </si>
  <si>
    <t xml:space="preserve">  Professional association memberships</t>
  </si>
  <si>
    <t xml:space="preserve">Must be directly related to your profession.</t>
  </si>
  <si>
    <t xml:space="preserve">  2G  DOUBLE HOUSEHOLD (Doppelte Haushaltsführung — §9 Abs.1 Nr.5)</t>
  </si>
  <si>
    <t xml:space="preserve">  Double household costs (second residence near work, max €1,000/month)</t>
  </si>
  <si>
    <t xml:space="preserve">Rent + utilities for work-required second home. Max €1,000/month = €12,000/year.</t>
  </si>
  <si>
    <t xml:space="preserve">  Weekly trips home (km × 2 × weeks × rate per km)</t>
  </si>
  <si>
    <t xml:space="preserve">One weekly trip home per week deductible at commuting rate.</t>
  </si>
  <si>
    <t xml:space="preserve">  TOTAL ACTUAL WERBUNGSKOSTEN</t>
  </si>
  <si>
    <t xml:space="preserve">  Effective Werbungskosten (MAX of actual vs flat-rate €1,230)</t>
  </si>
  <si>
    <t xml:space="preserve">Only the excess above €1,230 saves tax (€1,230 is automatic)</t>
  </si>
  <si>
    <t xml:space="preserve">  SECTION 3 — SPECIAL EXPENSES (Sonderausgaben — §10 EStG)</t>
  </si>
  <si>
    <t xml:space="preserve">  3A  PENSION &amp; RETIREMENT CONTRIBUTIONS</t>
  </si>
  <si>
    <t xml:space="preserve">  Statutory pension contribution (employee share, paid by employer)</t>
  </si>
  <si>
    <t xml:space="preserve">Usually auto-deducted. Use actual figure from Lohnsteuerbescheinigung. Fully deductible 2025+.</t>
  </si>
  <si>
    <t xml:space="preserve">  Riester pension contributions (own payments)</t>
  </si>
  <si>
    <t xml:space="preserve">Max €2,100/year eligible for Riester-Zulage or tax deduction, whichever better.</t>
  </si>
  <si>
    <t xml:space="preserve">  Rürup (Basisrente) contributions</t>
  </si>
  <si>
    <t xml:space="preserve">100% deductible up to €29,344 (2025). Good for self-employed.</t>
  </si>
  <si>
    <t xml:space="preserve">  Total pension deduction (capped at max)</t>
  </si>
  <si>
    <t xml:space="preserve">Max €29,344 for 2025</t>
  </si>
  <si>
    <t xml:space="preserve">  3B  HEALTH &amp; CARE INSURANCE PREMIUMS (deductible portion)</t>
  </si>
  <si>
    <t xml:space="preserve">  Health insurance premiums (employee portion, from Lohnsteuerbescheinigung)</t>
  </si>
  <si>
    <t xml:space="preserve">Auto-calculated in Section 4 from salary — or enter manually here if known.</t>
  </si>
  <si>
    <t xml:space="preserve">  Long-term care insurance premiums (employee portion)</t>
  </si>
  <si>
    <t xml:space="preserve">Auto-calculated in Section 4 — or enter manually.</t>
  </si>
  <si>
    <t xml:space="preserve">  Private health insurance premiums (PKV, basic coverage only)</t>
  </si>
  <si>
    <t xml:space="preserve">Only basic/standard coverage is deductible, not supplementary.</t>
  </si>
  <si>
    <t xml:space="preserve">  Other insurance premiums (life, accident, liability — capped)</t>
  </si>
  <si>
    <t xml:space="preserve">Capped at €1,900 (employees) or €2,800 (self-employed) combined with health.</t>
  </si>
  <si>
    <t xml:space="preserve">  3C  EDUCATION &amp; CHILDCARE</t>
  </si>
  <si>
    <t xml:space="preserve">  Childcare costs (Kita, Tagesmutter) — actual costs paid</t>
  </si>
  <si>
    <t xml:space="preserve">80% deductible, max €4,800/child (2025). Child must be under 14.</t>
  </si>
  <si>
    <t xml:space="preserve">  Childcare deduction (80% of costs, max €4,800 per child)</t>
  </si>
  <si>
    <t xml:space="preserve">80% deductible since 2025</t>
  </si>
  <si>
    <t xml:space="preserve">  Private school fees (Schulgeld) — 30% deductible, max €5,000</t>
  </si>
  <si>
    <t xml:space="preserve">30% of qualifying private school fees. Max €5,000 deduction.</t>
  </si>
  <si>
    <t xml:space="preserve">  School fees deduction (30%, max €5,000)</t>
  </si>
  <si>
    <t xml:space="preserve">  3D  DONATIONS &amp; CHURCH TAX (Spenden &amp; Kirchensteuer)</t>
  </si>
  <si>
    <t xml:space="preserve">  Charitable donations (to registered German charities)</t>
  </si>
  <si>
    <t xml:space="preserve">Max 20% of total income. Retain Zuwendungsbestätigung (donation receipt).</t>
  </si>
  <si>
    <t xml:space="preserve">  Donations deduction (capped at 20% of income)</t>
  </si>
  <si>
    <t xml:space="preserve">  Church tax paid in the year (from Lohnsteuerbescheinigung)</t>
  </si>
  <si>
    <t xml:space="preserve">Church tax paid is itself deductible as Sonderausgaben.</t>
  </si>
  <si>
    <t xml:space="preserve">  3E  MAINTENANCE / ALIMONY PAID (Unterhalt)</t>
  </si>
  <si>
    <t xml:space="preserve">  Maintenance paid to ex-spouse (Realsplitting, if applicable)</t>
  </si>
  <si>
    <t xml:space="preserve">Max €13,805/year deductible if recipient agrees (Anlage U). Bank transfer required 2025+.</t>
  </si>
  <si>
    <t xml:space="preserve">  3F  FURTHER EDUCATION (Erstausbildung / Zweitausbildung)</t>
  </si>
  <si>
    <t xml:space="preserve">  First-time vocational training costs (max €6,000)</t>
  </si>
  <si>
    <t xml:space="preserve">Only as Sonderausgaben (not Werbungskosten) — limited to €6,000.</t>
  </si>
  <si>
    <t xml:space="preserve">  TOTAL SONDERAUSGABEN (Special Expenses)</t>
  </si>
  <si>
    <t xml:space="preserve">  SECTION 4 — EXTRAORDINARY BURDENS (Außergewöhnliche Belastungen — §33 EStG)</t>
  </si>
  <si>
    <t xml:space="preserve">  4A  GENERAL EXTRAORDINARY BURDENS (unavoidable, above reasonable threshold)</t>
  </si>
  <si>
    <t xml:space="preserve">  Medical costs not covered by insurance (doctor, hospital, glasses)</t>
  </si>
  <si>
    <t xml:space="preserve">Prescription medicine, dental, therapy, medical aids. Retain all receipts.</t>
  </si>
  <si>
    <t xml:space="preserve">  Funeral costs (if from own assets, not estate)</t>
  </si>
  <si>
    <t xml:space="preserve">Only amounts not covered by estate assets.</t>
  </si>
  <si>
    <t xml:space="preserve">  Natural disaster costs (flood, storm damage, not insured)</t>
  </si>
  <si>
    <t xml:space="preserve">Damages not covered by insurance — rare.</t>
  </si>
  <si>
    <t xml:space="preserve">  Care costs for dependent relatives (Pflegekosten)</t>
  </si>
  <si>
    <t xml:space="preserve">If you bear costs for care of dependants.</t>
  </si>
  <si>
    <t xml:space="preserve">  Other extraordinary burdens (§33 EStG)</t>
  </si>
  <si>
    <t xml:space="preserve">Must be unavoidable and unusual.</t>
  </si>
  <si>
    <t xml:space="preserve">  Total extraordinary burdens</t>
  </si>
  <si>
    <t xml:space="preserve">  Reasonable burden threshold (zumutbare Belastung, ~3% of income)</t>
  </si>
  <si>
    <t xml:space="preserve">Deductible only above this threshold. Rate depends on income &amp; family status.</t>
  </si>
  <si>
    <t xml:space="preserve">  Net extraordinary burden deduction</t>
  </si>
  <si>
    <t xml:space="preserve">Only excess above threshold is deductible</t>
  </si>
  <si>
    <t xml:space="preserve">  4B  FLAT-RATE SPECIAL DEDUCTIONS (§33a / §33b EStG)</t>
  </si>
  <si>
    <t xml:space="preserve">  Disability flat-rate (Behinderten-Pauschbetrag)</t>
  </si>
  <si>
    <t xml:space="preserve">GdB 20=384, 30=620, 40=860, 50=1140, 60=1440, 70=1780, 80=2120, 90=2460, 100=2840</t>
  </si>
  <si>
    <t xml:space="preserve">  Blind / severely care-needy flat-rate (Blindenpauschbetrag)</t>
  </si>
  <si>
    <t xml:space="preserve">€7,400/year for blind or needing highest care grade (Pflegegrad 4/5)</t>
  </si>
  <si>
    <t xml:space="preserve">  Pflegepauschbetrag (caring for a relative at home)</t>
  </si>
  <si>
    <t xml:space="preserve">Pflegegrad 2=600, Pflegegrad 3=1100, Pflegegrad 4/5=1800. Enter applicable amount.</t>
  </si>
  <si>
    <t xml:space="preserve">  Child allowance check (Kinderfreibetrag vs Kindergeld)</t>
  </si>
  <si>
    <t xml:space="preserve">Finanzamt auto-applies whichever is better (Günstigerprüfung). Enter 0 if receiving Kindergeld.</t>
  </si>
  <si>
    <t xml:space="preserve">  TOTAL EXTRAORDINARY BURDEN DEDUCTIONS</t>
  </si>
  <si>
    <t xml:space="preserve">  SECTION 5 — SOCIAL SECURITY CONTRIBUTIONS (auto-calculated from salary)</t>
  </si>
  <si>
    <t xml:space="preserve">  Your long-term care rate (employee)</t>
  </si>
  <si>
    <t xml:space="preserve">Childless: 2.1% | 1 child: 1.8% | 2+ children: reduced further</t>
  </si>
  <si>
    <t xml:space="preserve">  Pension insurance contribution (employee)</t>
  </si>
  <si>
    <t xml:space="preserve">9.3% capped at pension ceiling</t>
  </si>
  <si>
    <t xml:space="preserve">  Health insurance contribution — TK (employee)</t>
  </si>
  <si>
    <t xml:space="preserve">TK employee rate capped at health ceiling</t>
  </si>
  <si>
    <t xml:space="preserve">  Long-term care contribution (employee)</t>
  </si>
  <si>
    <t xml:space="preserve">Rate depends on number of children</t>
  </si>
  <si>
    <t xml:space="preserve">  Unemployment insurance contribution (employee)</t>
  </si>
  <si>
    <t xml:space="preserve">1.3% capped at pension ceiling</t>
  </si>
  <si>
    <t xml:space="preserve">  TOTAL SOCIAL SECURITY (employee share)</t>
  </si>
  <si>
    <t xml:space="preserve">Sum of all 4 contributions</t>
  </si>
  <si>
    <t xml:space="preserve">  SECTION 6 — LOSS OFFSETS &amp; CARRY-FORWARDS (Verlustverrechnung — §10d EStG)</t>
  </si>
  <si>
    <t xml:space="preserve">  Loss carry-forward from prior years (Verlustvortrag)</t>
  </si>
  <si>
    <t xml:space="preserve">Losses from prior years that can offset current income. Limited to €10M single filer.</t>
  </si>
  <si>
    <t xml:space="preserve">  Loss carry-back to prior year (Verlustrücktrag, max €10M)</t>
  </si>
  <si>
    <t xml:space="preserve">Can offset prior year income — often better. File Anlage N/S accordingly.</t>
  </si>
  <si>
    <t xml:space="preserve">  Total loss offset applied</t>
  </si>
  <si>
    <t xml:space="preserve">Cannot exceed total income (minimum income = 0)</t>
  </si>
  <si>
    <t xml:space="preserve">  SECTION 7 — TAXABLE INCOME CALCULATION (zu versteuerndes Einkommen — zvE)</t>
  </si>
  <si>
    <t xml:space="preserve">  Grundfreibetrag (prorated for months in Germany)</t>
  </si>
  <si>
    <t xml:space="preserve">Full if 12 months; prorated for part-year residents</t>
  </si>
  <si>
    <t xml:space="preserve">  Total gross income</t>
  </si>
  <si>
    <t xml:space="preserve">  Less: Social security contributions</t>
  </si>
  <si>
    <t xml:space="preserve">  Less: Effective Werbungskosten</t>
  </si>
  <si>
    <t xml:space="preserve">  Less: Sonderausgaben (special expenses)</t>
  </si>
  <si>
    <t xml:space="preserve">  Less: Extraordinary burdens (net)</t>
  </si>
  <si>
    <t xml:space="preserve">  Less: Loss carry-forward / carry-back</t>
  </si>
  <si>
    <t xml:space="preserve">  Less: Grundfreibetrag (basic allowance)</t>
  </si>
  <si>
    <t xml:space="preserve">  TAXABLE INCOME (zu versteuerndes Einkommen — zvE)</t>
  </si>
  <si>
    <t xml:space="preserve">Cannot be negative. This is the base for income tax.</t>
  </si>
  <si>
    <t xml:space="preserve">  SECTION 8 — INCOME TAX COMPUTATION (Einkommensteuer §32a EStG)</t>
  </si>
  <si>
    <t xml:space="preserve">  Income tax (§32a EStG progressive formula)</t>
  </si>
  <si>
    <t xml:space="preserve">Progressive formula — verify at bmf-steuerrechner.de</t>
  </si>
  <si>
    <t xml:space="preserve">  Trade tax credit offset (§35 EStG)</t>
  </si>
  <si>
    <t xml:space="preserve">Credited against income tax</t>
  </si>
  <si>
    <t xml:space="preserve">  Income tax after trade tax credit</t>
  </si>
  <si>
    <t xml:space="preserve">  Solidarity surcharge (Solidaritätszuschlag 5.5%)</t>
  </si>
  <si>
    <t xml:space="preserve">Exempt if income tax ≤ €19,950 (single). Phase-in zone for amounts between.</t>
  </si>
  <si>
    <t xml:space="preserve">  Church tax (Kirchensteuer)</t>
  </si>
  <si>
    <t xml:space="preserve">0 if not church member. Rate from Rates sheet.</t>
  </si>
  <si>
    <t xml:space="preserve">  TOTAL INCOME TAX + SOLI + CHURCH TAX</t>
  </si>
  <si>
    <t xml:space="preserve">  SECTION 9 — TOTAL TAX BURDEN SUMMARY</t>
  </si>
  <si>
    <t xml:space="preserve">  TOTAL TAX + SOCIAL SECURITY (all taxes combined)</t>
  </si>
  <si>
    <t xml:space="preserve">Income tax + Soli + Church + Capital gains tax + all SS contributions</t>
  </si>
  <si>
    <t xml:space="preserve">  ESTIMATED NET TAKE-HOME (approx)</t>
  </si>
  <si>
    <t xml:space="preserve">Employment income after income tax and SS. Excludes capital/rental income.</t>
  </si>
  <si>
    <t xml:space="preserve">  SECTION 10 — LOHNSTEUER WITHHELD &amp; REFUND CALCULATION</t>
  </si>
  <si>
    <t xml:space="preserve">  ⚠️  Enter actual figures from your Lohnsteuerbescheinigung (employer tax certificate, received by end of February following year)</t>
  </si>
  <si>
    <t xml:space="preserve">  Lohnsteuer withheld by employer (Zeile 4 of Lohnsteuerbescheinigung)</t>
  </si>
  <si>
    <t xml:space="preserve">Main income tax withheld from salary. Replace 0 with your actual amount.</t>
  </si>
  <si>
    <t xml:space="preserve">  Solidarity surcharge withheld (Zeile 5)</t>
  </si>
  <si>
    <t xml:space="preserve">Usually 0 for most earners.</t>
  </si>
  <si>
    <t xml:space="preserve">  Church tax withheld (Zeile 6, if applicable)</t>
  </si>
  <si>
    <t xml:space="preserve">Only if church-registered.</t>
  </si>
  <si>
    <t xml:space="preserve">  KESt (capital gains tax) withheld by banks</t>
  </si>
  <si>
    <t xml:space="preserve">From all bank Jahressteuerbescheinigungen.</t>
  </si>
  <si>
    <t xml:space="preserve">  TOTAL TAX ALREADY PAID</t>
  </si>
  <si>
    <t xml:space="preserve">Sum of all withheld taxes</t>
  </si>
  <si>
    <t xml:space="preserve">  NET REFUND (+) / ADDITIONAL PAYMENT DUE (−)</t>
  </si>
  <si>
    <t xml:space="preserve">Positive = refund from Finanzamt. Negative = you owe additional tax.</t>
  </si>
  <si>
    <t xml:space="preserve">  SECTION 11 — EFFECTIVE RATES DASHBOARD</t>
  </si>
  <si>
    <t xml:space="preserve">  Total gross employment income</t>
  </si>
  <si>
    <t xml:space="preserve">  Total all-source income</t>
  </si>
  <si>
    <t xml:space="preserve">  Taxable income (zvE)</t>
  </si>
  <si>
    <t xml:space="preserve">  Income tax owed</t>
  </si>
  <si>
    <t xml:space="preserve">  Effective income tax rate (on gross employment)</t>
  </si>
  <si>
    <t xml:space="preserve">  Effective income tax rate (on all income)</t>
  </si>
  <si>
    <t xml:space="preserve">  Total social security (employee)</t>
  </si>
  <si>
    <t xml:space="preserve">  Capital gains tax</t>
  </si>
  <si>
    <t xml:space="preserve">  Total tax burden (all taxes + SS)</t>
  </si>
  <si>
    <t xml:space="preserve">  Effective total burden rate (on gross employment)</t>
  </si>
  <si>
    <t xml:space="preserve">  Estimated net take-home</t>
  </si>
  <si>
    <t xml:space="preserve">  Tax zone</t>
  </si>
  <si>
    <t xml:space="preserve">  Solidarity surcharge applies?</t>
  </si>
  <si>
    <t xml:space="preserve">  Estimated refund / payment</t>
  </si>
  <si>
    <t xml:space="preserve">  FILING INFORMATION — Tax Year 2025</t>
  </si>
  <si>
    <t xml:space="preserve">  Self-filing deadline</t>
  </si>
  <si>
    <t xml:space="preserve">31 July 2026</t>
  </si>
  <si>
    <t xml:space="preserve">  With Steuerberater (tax advisor)</t>
  </si>
  <si>
    <t xml:space="preserve">28 February 2027</t>
  </si>
  <si>
    <t xml:space="preserve">  Portal</t>
  </si>
  <si>
    <t xml:space="preserve">ELSTER — elster.de (free online filing)</t>
  </si>
  <si>
    <t xml:space="preserve">  Key forms</t>
  </si>
  <si>
    <t xml:space="preserve">Anlage N (employment) | Anlage KAP (capital) | Anlage V (rental) | Anlage SO (crypto/speculation) | Anlage G (trade) | Anlage S (freelance)</t>
  </si>
  <si>
    <t xml:space="preserve">  Lohnsteuerbescheinigung</t>
  </si>
  <si>
    <t xml:space="preserve">Available from employer by end of February 2026</t>
  </si>
  <si>
    <t xml:space="preserve">🇩🇪  Complete German Income Tax Calculator — Tax Year 2026  |  Blue cells = your inputs</t>
  </si>
  <si>
    <t xml:space="preserve">  RATES REFERENCE — Auto-pulled from 'Rates' sheet for 2026  (change rates there if needed)</t>
  </si>
  <si>
    <t xml:space="preserve">2026: 38¢/km from km 1</t>
  </si>
  <si>
    <t xml:space="preserve">Max €29,344 for 2026</t>
  </si>
  <si>
    <t xml:space="preserve">80% deductible, max €4,800/child (2026). Child must be under 14.</t>
  </si>
  <si>
    <t xml:space="preserve">  FILING INFORMATION — Tax Year 2026</t>
  </si>
  <si>
    <t xml:space="preserve">31 July 2027</t>
  </si>
  <si>
    <t xml:space="preserve">28 February 2028</t>
  </si>
  <si>
    <t xml:space="preserve">Available from employer by end of February 2027</t>
  </si>
  <si>
    <t xml:space="preserve">🇩🇪  Complete German Tax Calculator — Instructions &amp; Legend</t>
  </si>
  <si>
    <t xml:space="preserve">COLOUR CODING</t>
  </si>
  <si>
    <t xml:space="preserve">🔵 Blue text + yellow background</t>
  </si>
  <si>
    <t xml:space="preserve">YOUR INPUT — change these cells to match your situation</t>
  </si>
  <si>
    <t xml:space="preserve">🟢 Green text + blue background</t>
  </si>
  <si>
    <t xml:space="preserve">AUTO-CALCULATED — do not edit</t>
  </si>
  <si>
    <t xml:space="preserve">⚫ Black text + grey/white background</t>
  </si>
  <si>
    <t xml:space="preserve">Totals and section labels</t>
  </si>
  <si>
    <t xml:space="preserve">HOW TO USE THIS WORKBOOK</t>
  </si>
  <si>
    <t xml:space="preserve">Step 1</t>
  </si>
  <si>
    <t xml:space="preserve">Go to the 'Rates' sheet. All official 2025 and 2026 rates are pre-filled. You can adjust if rates change.</t>
  </si>
  <si>
    <t xml:space="preserve">Step 2</t>
  </si>
  <si>
    <t xml:space="preserve">Go to '2025' or '2026' sheet. Start at Section 0 — fill in your personal details (tax class, children, disability).</t>
  </si>
  <si>
    <t xml:space="preserve">Step 3</t>
  </si>
  <si>
    <t xml:space="preserve">Section 1 — Enter your monthly salaries. Set months you did not work to 0. Add freelance, rental, capital income if applicable.</t>
  </si>
  <si>
    <t xml:space="preserve">Step 4</t>
  </si>
  <si>
    <t xml:space="preserve">Section 2 — Enter your Werbungskosten. Many items pre-filled from our conversation. Add/change as needed.</t>
  </si>
  <si>
    <t xml:space="preserve">Step 5</t>
  </si>
  <si>
    <t xml:space="preserve">Section 3 — Enter Sonderausgaben. Most items are 0 unless you have pension contributions, donations, childcare, etc.</t>
  </si>
  <si>
    <t xml:space="preserve">Step 6</t>
  </si>
  <si>
    <t xml:space="preserve">Section 4 — Enter extraordinary burdens (medical, disability, care) only if they apply to you.</t>
  </si>
  <si>
    <t xml:space="preserve">Step 7</t>
  </si>
  <si>
    <t xml:space="preserve">Section 5 — Social security is auto-calculated. No input needed.</t>
  </si>
  <si>
    <t xml:space="preserve">Step 8</t>
  </si>
  <si>
    <t xml:space="preserve">Section 6 — Enter loss carry-forwards from prior years (usually 0 unless you had losses).</t>
  </si>
  <si>
    <t xml:space="preserve">Step 9</t>
  </si>
  <si>
    <t xml:space="preserve">Sections 7-9 — Review taxable income, income tax, total burden. All auto-calculated.</t>
  </si>
  <si>
    <t xml:space="preserve">Step 10</t>
  </si>
  <si>
    <t xml:space="preserve">Section 10 — After year end, enter actual Lohnsteuer withheld from your Lohnsteuerbescheinigung (employer tax certificate). This gives your refund/payment.</t>
  </si>
  <si>
    <t xml:space="preserve">Step 11</t>
  </si>
  <si>
    <t xml:space="preserve">Section 11 — Review the dashboard for effective rates and summary.</t>
  </si>
  <si>
    <t xml:space="preserve">INCOME TYPES COVERED</t>
  </si>
  <si>
    <t xml:space="preserve">§19 Employment</t>
  </si>
  <si>
    <t xml:space="preserve">Salary from all jobs, bonuses, severance pay</t>
  </si>
  <si>
    <t xml:space="preserve">§18 Self-employment</t>
  </si>
  <si>
    <t xml:space="preserve">Freelance, consulting, professional services</t>
  </si>
  <si>
    <t xml:space="preserve">§15 Trade/business</t>
  </si>
  <si>
    <t xml:space="preserve">Business income (Gewerbebetrieb)</t>
  </si>
  <si>
    <t xml:space="preserve">§21 Rental</t>
  </si>
  <si>
    <t xml:space="preserve">Rental income net of expenses, depreciation, interest</t>
  </si>
  <si>
    <t xml:space="preserve">§20 Capital income</t>
  </si>
  <si>
    <t xml:space="preserve">Dividends, interest, ETF gains, with Abgeltungsteuer</t>
  </si>
  <si>
    <t xml:space="preserve">§22 Other income</t>
  </si>
  <si>
    <t xml:space="preserve">Pension, private annuity, maintenance, crypto, speculation</t>
  </si>
  <si>
    <t xml:space="preserve">DEDUCTIONS COVERED</t>
  </si>
  <si>
    <t xml:space="preserve">Werbungskosten §9</t>
  </si>
  <si>
    <t xml:space="preserve">Commuting, home office, equipment, internet, travel, training, union dues, double household</t>
  </si>
  <si>
    <t xml:space="preserve">Sonderausgaben §10</t>
  </si>
  <si>
    <t xml:space="preserve">Pension contributions, health insurance, childcare, school fees, donations, church tax, maintenance paid</t>
  </si>
  <si>
    <t xml:space="preserve">Außergewöhnliche Belastungen §33</t>
  </si>
  <si>
    <t xml:space="preserve">Medical, funeral, care costs above reasonable threshold</t>
  </si>
  <si>
    <t xml:space="preserve">Flat-rate deductions §33a/b</t>
  </si>
  <si>
    <t xml:space="preserve">Disability (Behinderten-Pauschbetrag), blindness, care-giving flat rate</t>
  </si>
  <si>
    <t xml:space="preserve">Loss offsets §10d</t>
  </si>
  <si>
    <t xml:space="preserve">Carry-forward and carry-back of losses from prior years</t>
  </si>
  <si>
    <t xml:space="preserve">IMPORTANT NOTES</t>
  </si>
  <si>
    <t xml:space="preserve">Tax formula</t>
  </si>
  <si>
    <t xml:space="preserve">Uses §32a EStG progressive formula — approximation. Always verify final amount at bmf-steuerrechner.de or via ELSTER.</t>
  </si>
  <si>
    <t xml:space="preserve">Günstigerprüfung</t>
  </si>
  <si>
    <t xml:space="preserve">Capital income is normally taxed separately at 25%. If your marginal rate &lt; 25%, set flag in Section 1E to add it to progressive income — may reduce total tax.</t>
  </si>
  <si>
    <t xml:space="preserve">Kinderfreibetrag</t>
  </si>
  <si>
    <t xml:space="preserve">Child allowance (Kinderfreibetrag) is compared by Finanzamt against Kindergeld received — they automatically apply whichever is better.</t>
  </si>
  <si>
    <t xml:space="preserve">Lohnsteuerbescheinigung</t>
  </si>
  <si>
    <t xml:space="preserve">The refund calculation requires your actual Lohnsteuer withheld. This is on your employer's tax certificate (Lohnsteuerbescheinigung), issued by end of February following the tax year.</t>
  </si>
  <si>
    <t xml:space="preserve">Freistellungsauftrag</t>
  </si>
  <si>
    <t xml:space="preserve">Submit a Freistellungsauftrag to your bank(s) to use your Sparer-Pauschbetrag (€1,000 single) so they don't withhold KESt automatically.</t>
  </si>
  <si>
    <t xml:space="preserve">Disclaimer</t>
  </si>
  <si>
    <t xml:space="preserve">This calculator is for estimation and planning purposes only. It is not tax advice. Always verify your final return using ELSTER or consult a Steuerberater.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</si>
</sst>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0.00%"/>
    <numFmt numFmtId="167" formatCode="#,##0.00&quot; €&quot;;\(#,##0.00&quot; €)&quot;;\-"/>
    <numFmt numFmtId="168" formatCode="0.0%"/>
    <numFmt numFmtId="169" formatCode="0"/>
    <numFmt numFmtId="170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F4E79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sz val="10"/>
      <color rgb="FF0064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333333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FAADC"/>
        <bgColor rgb="FF969696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4472C4"/>
        <bgColor rgb="FF2E75B6"/>
      </patternFill>
    </fill>
    <fill>
      <patternFill patternType="solid">
        <fgColor rgb="FFEBF3FB"/>
        <bgColor rgb="FFE2EFDA"/>
      </patternFill>
    </fill>
    <fill>
      <patternFill patternType="solid">
        <fgColor rgb="FFD6E4F0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3FB"/>
      </patternFill>
    </fill>
    <fill>
      <patternFill patternType="solid">
        <fgColor rgb="FFFFEB9C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F4E79"/>
      </left>
      <right/>
      <top style="thin">
        <color rgb="FF1F4E79"/>
      </top>
      <bottom style="thin">
        <color rgb="FF1F4E79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4472C4"/>
      </left>
      <right/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8FAADC"/>
      </left>
      <right/>
      <top style="thin">
        <color rgb="FF8FAADC"/>
      </top>
      <bottom style="thin">
        <color rgb="FF8FAADC"/>
      </bottom>
      <diagonal/>
    </border>
    <border diagonalUp="false" diagonalDown="false">
      <left style="thin">
        <color rgb="FF8FAADC"/>
      </left>
      <right style="thin">
        <color rgb="FF8FAADC"/>
      </right>
      <top style="thin">
        <color rgb="FF8FAADC"/>
      </top>
      <bottom style="thin">
        <color rgb="FF8FAA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400"/>
      <rgbColor rgb="FF000080"/>
      <rgbColor rgb="FF7F6000"/>
      <rgbColor rgb="FF800080"/>
      <rgbColor rgb="FF008080"/>
      <rgbColor rgb="FFBBBBBB"/>
      <rgbColor rgb="FF555555"/>
      <rgbColor rgb="FF8FAADC"/>
      <rgbColor rgb="FF993366"/>
      <rgbColor rgb="FFFFF2CC"/>
      <rgbColor rgb="FFEBF3FB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B9C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38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3" customFormat="false" ht="16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.75" hidden="false" customHeight="true" outlineLevel="0" collapsed="false">
      <c r="A4" s="5" t="s">
        <v>6</v>
      </c>
      <c r="B4" s="6" t="n">
        <v>12096</v>
      </c>
      <c r="C4" s="6" t="n">
        <v>12348</v>
      </c>
      <c r="D4" s="7" t="s">
        <v>7</v>
      </c>
    </row>
    <row r="5" customFormat="false" ht="15.75" hidden="false" customHeight="true" outlineLevel="0" collapsed="false">
      <c r="A5" s="5" t="s">
        <v>8</v>
      </c>
      <c r="B5" s="6" t="n">
        <v>17443</v>
      </c>
      <c r="C5" s="6" t="n">
        <v>17799</v>
      </c>
      <c r="D5" s="7" t="s">
        <v>9</v>
      </c>
    </row>
    <row r="6" customFormat="false" ht="15.75" hidden="false" customHeight="true" outlineLevel="0" collapsed="false">
      <c r="A6" s="5" t="s">
        <v>10</v>
      </c>
      <c r="B6" s="6" t="n">
        <v>66760</v>
      </c>
      <c r="C6" s="6" t="n">
        <v>69878</v>
      </c>
      <c r="D6" s="7" t="s">
        <v>11</v>
      </c>
    </row>
    <row r="7" customFormat="false" ht="15.75" hidden="false" customHeight="true" outlineLevel="0" collapsed="false">
      <c r="A7" s="5" t="s">
        <v>12</v>
      </c>
      <c r="B7" s="6" t="n">
        <v>277825</v>
      </c>
      <c r="C7" s="6" t="n">
        <v>277825</v>
      </c>
      <c r="D7" s="7" t="s">
        <v>13</v>
      </c>
    </row>
    <row r="8" customFormat="false" ht="15.75" hidden="false" customHeight="true" outlineLevel="0" collapsed="false">
      <c r="A8" s="5" t="s">
        <v>14</v>
      </c>
      <c r="B8" s="8" t="n">
        <v>0.42</v>
      </c>
      <c r="C8" s="8" t="n">
        <v>0.42</v>
      </c>
      <c r="D8" s="7" t="s">
        <v>15</v>
      </c>
    </row>
    <row r="9" customFormat="false" ht="15.75" hidden="false" customHeight="true" outlineLevel="0" collapsed="false">
      <c r="A9" s="5" t="s">
        <v>16</v>
      </c>
      <c r="B9" s="8" t="n">
        <v>0.055</v>
      </c>
      <c r="C9" s="8" t="n">
        <v>0.055</v>
      </c>
      <c r="D9" s="7" t="s">
        <v>17</v>
      </c>
    </row>
    <row r="10" customFormat="false" ht="15.75" hidden="false" customHeight="true" outlineLevel="0" collapsed="false">
      <c r="A10" s="5" t="s">
        <v>18</v>
      </c>
      <c r="B10" s="6" t="n">
        <v>19950</v>
      </c>
      <c r="C10" s="6" t="n">
        <v>19950</v>
      </c>
      <c r="D10" s="7" t="s">
        <v>19</v>
      </c>
    </row>
    <row r="11" customFormat="false" ht="15.75" hidden="false" customHeight="true" outlineLevel="0" collapsed="false">
      <c r="A11" s="5" t="s">
        <v>20</v>
      </c>
      <c r="B11" s="8" t="n">
        <v>0.09</v>
      </c>
      <c r="C11" s="8" t="n">
        <v>0.09</v>
      </c>
      <c r="D11" s="7" t="s">
        <v>21</v>
      </c>
    </row>
    <row r="13" customFormat="false" ht="15.75" hidden="false" customHeight="true" outlineLevel="0" collapsed="false">
      <c r="A13" s="3" t="s">
        <v>22</v>
      </c>
      <c r="B13" s="3"/>
      <c r="C13" s="3"/>
      <c r="D13" s="3"/>
    </row>
    <row r="14" customFormat="false" ht="16.5" hidden="false" customHeight="true" outlineLevel="0" collapsed="false">
      <c r="A14" s="4" t="s">
        <v>2</v>
      </c>
      <c r="B14" s="4" t="s">
        <v>3</v>
      </c>
      <c r="C14" s="4" t="s">
        <v>4</v>
      </c>
      <c r="D14" s="4" t="s">
        <v>5</v>
      </c>
    </row>
    <row r="15" customFormat="false" ht="15.75" hidden="false" customHeight="true" outlineLevel="0" collapsed="false">
      <c r="A15" s="5" t="s">
        <v>23</v>
      </c>
      <c r="B15" s="8" t="n">
        <v>0.093</v>
      </c>
      <c r="C15" s="8" t="n">
        <v>0.093</v>
      </c>
      <c r="D15" s="7" t="s">
        <v>24</v>
      </c>
    </row>
    <row r="16" customFormat="false" ht="15.75" hidden="false" customHeight="true" outlineLevel="0" collapsed="false">
      <c r="A16" s="5" t="s">
        <v>25</v>
      </c>
      <c r="B16" s="8" t="n">
        <v>0.073</v>
      </c>
      <c r="C16" s="8" t="n">
        <v>0.073</v>
      </c>
      <c r="D16" s="7" t="s">
        <v>26</v>
      </c>
    </row>
    <row r="17" customFormat="false" ht="15.75" hidden="false" customHeight="true" outlineLevel="0" collapsed="false">
      <c r="A17" s="5" t="s">
        <v>27</v>
      </c>
      <c r="B17" s="8" t="n">
        <v>0.01225</v>
      </c>
      <c r="C17" s="8" t="n">
        <v>0.01345</v>
      </c>
      <c r="D17" s="7" t="s">
        <v>28</v>
      </c>
    </row>
    <row r="18" customFormat="false" ht="15.75" hidden="false" customHeight="true" outlineLevel="0" collapsed="false">
      <c r="A18" s="5" t="s">
        <v>29</v>
      </c>
      <c r="B18" s="8" t="n">
        <v>0.08525</v>
      </c>
      <c r="C18" s="8" t="n">
        <v>0.08645</v>
      </c>
      <c r="D18" s="7" t="s">
        <v>30</v>
      </c>
    </row>
    <row r="19" customFormat="false" ht="15.75" hidden="false" customHeight="true" outlineLevel="0" collapsed="false">
      <c r="A19" s="5" t="s">
        <v>31</v>
      </c>
      <c r="B19" s="8" t="n">
        <v>0.018</v>
      </c>
      <c r="C19" s="8" t="n">
        <v>0.018</v>
      </c>
      <c r="D19" s="7" t="s">
        <v>32</v>
      </c>
    </row>
    <row r="20" customFormat="false" ht="15.75" hidden="false" customHeight="true" outlineLevel="0" collapsed="false">
      <c r="A20" s="5" t="s">
        <v>33</v>
      </c>
      <c r="B20" s="8" t="n">
        <v>0.006</v>
      </c>
      <c r="C20" s="8" t="n">
        <v>0.006</v>
      </c>
      <c r="D20" s="7" t="s">
        <v>34</v>
      </c>
    </row>
    <row r="21" customFormat="false" ht="15.75" hidden="false" customHeight="true" outlineLevel="0" collapsed="false">
      <c r="A21" s="5" t="s">
        <v>35</v>
      </c>
      <c r="B21" s="8" t="n">
        <v>0.0025</v>
      </c>
      <c r="C21" s="8" t="n">
        <v>0.0025</v>
      </c>
      <c r="D21" s="7" t="s">
        <v>36</v>
      </c>
    </row>
    <row r="22" customFormat="false" ht="15.75" hidden="false" customHeight="true" outlineLevel="0" collapsed="false">
      <c r="A22" s="5" t="s">
        <v>37</v>
      </c>
      <c r="B22" s="8" t="n">
        <v>0.013</v>
      </c>
      <c r="C22" s="8" t="n">
        <v>0.013</v>
      </c>
      <c r="D22" s="7" t="s">
        <v>38</v>
      </c>
    </row>
    <row r="24" customFormat="false" ht="15.75" hidden="false" customHeight="true" outlineLevel="0" collapsed="false">
      <c r="A24" s="3" t="s">
        <v>39</v>
      </c>
      <c r="B24" s="3"/>
      <c r="C24" s="3"/>
      <c r="D24" s="3"/>
    </row>
    <row r="25" customFormat="false" ht="16.5" hidden="false" customHeight="true" outlineLevel="0" collapsed="false">
      <c r="A25" s="4" t="s">
        <v>2</v>
      </c>
      <c r="B25" s="4" t="s">
        <v>3</v>
      </c>
      <c r="C25" s="4" t="s">
        <v>4</v>
      </c>
      <c r="D25" s="4" t="s">
        <v>5</v>
      </c>
    </row>
    <row r="26" customFormat="false" ht="15.75" hidden="false" customHeight="true" outlineLevel="0" collapsed="false">
      <c r="A26" s="5" t="s">
        <v>40</v>
      </c>
      <c r="B26" s="6" t="n">
        <v>66150</v>
      </c>
      <c r="C26" s="6" t="n">
        <v>69750</v>
      </c>
      <c r="D26" s="7" t="s">
        <v>41</v>
      </c>
    </row>
    <row r="27" customFormat="false" ht="15.75" hidden="false" customHeight="true" outlineLevel="0" collapsed="false">
      <c r="A27" s="5" t="s">
        <v>42</v>
      </c>
      <c r="B27" s="6" t="n">
        <v>96600</v>
      </c>
      <c r="C27" s="6" t="n">
        <v>101400</v>
      </c>
      <c r="D27" s="7" t="s">
        <v>43</v>
      </c>
    </row>
    <row r="28" customFormat="false" ht="15.75" hidden="false" customHeight="true" outlineLevel="0" collapsed="false">
      <c r="A28" s="5" t="s">
        <v>44</v>
      </c>
      <c r="B28" s="6" t="n">
        <v>73800</v>
      </c>
      <c r="C28" s="6" t="n">
        <v>77400</v>
      </c>
      <c r="D28" s="7" t="s">
        <v>45</v>
      </c>
    </row>
    <row r="30" customFormat="false" ht="15.75" hidden="false" customHeight="true" outlineLevel="0" collapsed="false">
      <c r="A30" s="3" t="s">
        <v>46</v>
      </c>
      <c r="B30" s="3"/>
      <c r="C30" s="3"/>
      <c r="D30" s="3"/>
    </row>
    <row r="31" customFormat="false" ht="16.5" hidden="false" customHeight="true" outlineLevel="0" collapsed="false">
      <c r="A31" s="4" t="s">
        <v>2</v>
      </c>
      <c r="B31" s="4" t="s">
        <v>3</v>
      </c>
      <c r="C31" s="4" t="s">
        <v>4</v>
      </c>
      <c r="D31" s="4" t="s">
        <v>5</v>
      </c>
    </row>
    <row r="32" customFormat="false" ht="15.75" hidden="false" customHeight="true" outlineLevel="0" collapsed="false">
      <c r="A32" s="5" t="s">
        <v>47</v>
      </c>
      <c r="B32" s="6" t="n">
        <v>1230</v>
      </c>
      <c r="C32" s="6" t="n">
        <v>1230</v>
      </c>
      <c r="D32" s="7" t="s">
        <v>48</v>
      </c>
    </row>
    <row r="33" customFormat="false" ht="15.75" hidden="false" customHeight="true" outlineLevel="0" collapsed="false">
      <c r="A33" s="5" t="s">
        <v>49</v>
      </c>
      <c r="B33" s="6" t="n">
        <v>1000</v>
      </c>
      <c r="C33" s="6" t="n">
        <v>1000</v>
      </c>
      <c r="D33" s="7" t="s">
        <v>50</v>
      </c>
    </row>
    <row r="34" customFormat="false" ht="15.75" hidden="false" customHeight="true" outlineLevel="0" collapsed="false">
      <c r="A34" s="5" t="s">
        <v>51</v>
      </c>
      <c r="B34" s="6" t="n">
        <v>6</v>
      </c>
      <c r="C34" s="6" t="n">
        <v>6</v>
      </c>
      <c r="D34" s="7" t="s">
        <v>52</v>
      </c>
    </row>
    <row r="35" customFormat="false" ht="15.75" hidden="false" customHeight="true" outlineLevel="0" collapsed="false">
      <c r="A35" s="5" t="s">
        <v>53</v>
      </c>
      <c r="B35" s="6" t="n">
        <v>800</v>
      </c>
      <c r="C35" s="6" t="n">
        <v>800</v>
      </c>
      <c r="D35" s="7" t="s">
        <v>54</v>
      </c>
    </row>
    <row r="36" customFormat="false" ht="15.75" hidden="false" customHeight="true" outlineLevel="0" collapsed="false">
      <c r="A36" s="5" t="s">
        <v>55</v>
      </c>
      <c r="B36" s="9" t="n">
        <v>0.3</v>
      </c>
      <c r="C36" s="9" t="n">
        <v>0.3</v>
      </c>
      <c r="D36" s="7" t="s">
        <v>56</v>
      </c>
    </row>
    <row r="37" customFormat="false" ht="15.75" hidden="false" customHeight="true" outlineLevel="0" collapsed="false">
      <c r="A37" s="5" t="s">
        <v>57</v>
      </c>
      <c r="B37" s="9" t="n">
        <v>0.38</v>
      </c>
      <c r="C37" s="9" t="n">
        <v>0.38</v>
      </c>
      <c r="D37" s="7" t="s">
        <v>58</v>
      </c>
    </row>
    <row r="38" customFormat="false" ht="15.75" hidden="false" customHeight="true" outlineLevel="0" collapsed="false">
      <c r="A38" s="5" t="s">
        <v>59</v>
      </c>
      <c r="B38" s="6" t="n">
        <v>20</v>
      </c>
      <c r="C38" s="6" t="n">
        <v>0</v>
      </c>
      <c r="D38" s="7" t="s">
        <v>60</v>
      </c>
    </row>
    <row r="39" customFormat="false" ht="15.75" hidden="false" customHeight="true" outlineLevel="0" collapsed="false">
      <c r="A39" s="5" t="s">
        <v>61</v>
      </c>
      <c r="B39" s="6" t="n">
        <v>20</v>
      </c>
      <c r="C39" s="6" t="n">
        <v>20</v>
      </c>
      <c r="D39" s="7" t="s">
        <v>62</v>
      </c>
    </row>
    <row r="40" customFormat="false" ht="15.75" hidden="false" customHeight="true" outlineLevel="0" collapsed="false">
      <c r="A40" s="5" t="s">
        <v>63</v>
      </c>
      <c r="B40" s="8" t="n">
        <v>0.2</v>
      </c>
      <c r="C40" s="8" t="n">
        <v>0.2</v>
      </c>
      <c r="D40" s="7" t="s">
        <v>64</v>
      </c>
    </row>
    <row r="41" customFormat="false" ht="15.75" hidden="false" customHeight="true" outlineLevel="0" collapsed="false">
      <c r="A41" s="5" t="s">
        <v>65</v>
      </c>
      <c r="B41" s="6" t="n">
        <v>29344</v>
      </c>
      <c r="C41" s="6" t="n">
        <v>29344</v>
      </c>
      <c r="D41" s="7" t="s">
        <v>66</v>
      </c>
    </row>
    <row r="42" customFormat="false" ht="15.75" hidden="false" customHeight="true" outlineLevel="0" collapsed="false">
      <c r="A42" s="5" t="s">
        <v>67</v>
      </c>
      <c r="B42" s="10" t="n">
        <v>0.03</v>
      </c>
      <c r="C42" s="10" t="n">
        <v>0.03</v>
      </c>
      <c r="D42" s="7" t="s">
        <v>68</v>
      </c>
    </row>
    <row r="43" customFormat="false" ht="15.75" hidden="false" customHeight="true" outlineLevel="0" collapsed="false">
      <c r="A43" s="5" t="s">
        <v>69</v>
      </c>
      <c r="B43" s="6" t="n">
        <v>384</v>
      </c>
      <c r="C43" s="6" t="n">
        <v>384</v>
      </c>
      <c r="D43" s="7" t="s">
        <v>70</v>
      </c>
    </row>
    <row r="44" customFormat="false" ht="15.75" hidden="false" customHeight="true" outlineLevel="0" collapsed="false">
      <c r="A44" s="5" t="s">
        <v>71</v>
      </c>
      <c r="B44" s="6" t="n">
        <v>6384</v>
      </c>
      <c r="C44" s="6" t="n">
        <v>6384</v>
      </c>
      <c r="D44" s="7" t="s">
        <v>72</v>
      </c>
    </row>
    <row r="45" customFormat="false" ht="15.75" hidden="false" customHeight="true" outlineLevel="0" collapsed="false">
      <c r="A45" s="5" t="s">
        <v>73</v>
      </c>
      <c r="B45" s="6" t="n">
        <v>255</v>
      </c>
      <c r="C45" s="6" t="n">
        <v>259</v>
      </c>
      <c r="D45" s="7" t="s">
        <v>74</v>
      </c>
    </row>
    <row r="47" customFormat="false" ht="15.75" hidden="false" customHeight="true" outlineLevel="0" collapsed="false">
      <c r="A47" s="3" t="s">
        <v>75</v>
      </c>
      <c r="B47" s="3"/>
      <c r="C47" s="3"/>
      <c r="D47" s="3"/>
    </row>
    <row r="48" customFormat="false" ht="16.5" hidden="false" customHeight="true" outlineLevel="0" collapsed="false">
      <c r="A48" s="4" t="s">
        <v>2</v>
      </c>
      <c r="B48" s="4" t="s">
        <v>3</v>
      </c>
      <c r="C48" s="4" t="s">
        <v>4</v>
      </c>
      <c r="D48" s="4" t="s">
        <v>5</v>
      </c>
    </row>
    <row r="49" customFormat="false" ht="15.75" hidden="false" customHeight="true" outlineLevel="0" collapsed="false">
      <c r="A49" s="5" t="s">
        <v>76</v>
      </c>
      <c r="B49" s="8" t="n">
        <v>0.25</v>
      </c>
      <c r="C49" s="8" t="n">
        <v>0.25</v>
      </c>
      <c r="D49" s="7" t="s">
        <v>77</v>
      </c>
    </row>
    <row r="50" customFormat="false" ht="15.75" hidden="false" customHeight="true" outlineLevel="0" collapsed="false">
      <c r="A50" s="5" t="s">
        <v>78</v>
      </c>
      <c r="B50" s="8" t="n">
        <v>0.055</v>
      </c>
      <c r="C50" s="8" t="n">
        <v>0.055</v>
      </c>
      <c r="D50" s="7" t="s">
        <v>79</v>
      </c>
    </row>
    <row r="51" customFormat="false" ht="15.75" hidden="false" customHeight="true" outlineLevel="0" collapsed="false">
      <c r="A51" s="5" t="s">
        <v>80</v>
      </c>
      <c r="B51" s="8" t="n">
        <v>0</v>
      </c>
      <c r="C51" s="8" t="n">
        <v>0</v>
      </c>
      <c r="D51" s="7" t="s">
        <v>81</v>
      </c>
    </row>
    <row r="52" customFormat="false" ht="15.75" hidden="false" customHeight="true" outlineLevel="0" collapsed="false">
      <c r="A52" s="5" t="s">
        <v>82</v>
      </c>
      <c r="B52" s="8" t="n">
        <v>0.2638</v>
      </c>
      <c r="C52" s="8" t="n">
        <v>0.2638</v>
      </c>
      <c r="D52" s="7" t="s">
        <v>83</v>
      </c>
    </row>
    <row r="54" customFormat="false" ht="15.75" hidden="false" customHeight="true" outlineLevel="0" collapsed="false">
      <c r="A54" s="3" t="s">
        <v>84</v>
      </c>
      <c r="B54" s="3"/>
      <c r="C54" s="3"/>
      <c r="D54" s="3"/>
    </row>
    <row r="55" customFormat="false" ht="16.5" hidden="false" customHeight="true" outlineLevel="0" collapsed="false">
      <c r="A55" s="4" t="s">
        <v>2</v>
      </c>
      <c r="B55" s="4" t="s">
        <v>3</v>
      </c>
      <c r="C55" s="4" t="s">
        <v>4</v>
      </c>
      <c r="D55" s="4" t="s">
        <v>5</v>
      </c>
    </row>
    <row r="56" customFormat="false" ht="15.75" hidden="false" customHeight="true" outlineLevel="0" collapsed="false">
      <c r="A56" s="5" t="s">
        <v>85</v>
      </c>
      <c r="B56" s="8" t="n">
        <v>0.02</v>
      </c>
      <c r="C56" s="8" t="n">
        <v>0.02</v>
      </c>
      <c r="D56" s="7" t="s">
        <v>86</v>
      </c>
    </row>
    <row r="57" customFormat="false" ht="15.75" hidden="false" customHeight="true" outlineLevel="0" collapsed="false">
      <c r="A57" s="5" t="s">
        <v>87</v>
      </c>
      <c r="B57" s="8" t="n">
        <v>0.03</v>
      </c>
      <c r="C57" s="8" t="n">
        <v>0.03</v>
      </c>
      <c r="D57" s="7" t="s">
        <v>88</v>
      </c>
    </row>
  </sheetData>
  <mergeCells count="7">
    <mergeCell ref="A1:D1"/>
    <mergeCell ref="A2:D2"/>
    <mergeCell ref="A13:D13"/>
    <mergeCell ref="A24:D24"/>
    <mergeCell ref="A30:D30"/>
    <mergeCell ref="A47:D47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8"/>
    <col collapsed="false" customWidth="true" hidden="false" outlineLevel="0" max="11" min="11" style="1" width="16"/>
    <col collapsed="false" customWidth="true" hidden="false" outlineLevel="0" max="12" min="12" style="1" width="44"/>
    <col collapsed="false" customWidth="true" hidden="false" outlineLevel="0" max="14" min="14" style="1" width="12"/>
    <col collapsed="false" customWidth="true" hidden="false" outlineLevel="0" max="17" min="15" style="1" width="8"/>
  </cols>
  <sheetData>
    <row r="1" customFormat="false" ht="25.5" hidden="false" customHeight="true" outlineLevel="0" collapsed="false">
      <c r="A1" s="11" t="s">
        <v>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3.5" hidden="false" customHeight="true" outlineLevel="0" collapsed="false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6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customFormat="false" ht="18" hidden="false" customHeight="true" outlineLevel="0" collapsed="false">
      <c r="A4" s="14" t="s">
        <v>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18" hidden="false" customHeight="true" outlineLevel="0" collapsed="false">
      <c r="A6" s="15" t="s">
        <v>92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customFormat="false" ht="15.75" hidden="false" customHeight="true" outlineLevel="0" collapsed="false">
      <c r="A7" s="16" t="s">
        <v>93</v>
      </c>
      <c r="B7" s="16"/>
      <c r="C7" s="16"/>
      <c r="D7" s="16"/>
      <c r="E7" s="16"/>
      <c r="F7" s="16"/>
      <c r="G7" s="16"/>
      <c r="H7" s="16"/>
      <c r="I7" s="16"/>
      <c r="J7" s="16"/>
      <c r="K7" s="17" t="n">
        <v>1</v>
      </c>
      <c r="L7" s="18" t="s">
        <v>94</v>
      </c>
    </row>
    <row r="8" customFormat="false" ht="15.75" hidden="false" customHeight="true" outlineLevel="0" collapsed="false">
      <c r="A8" s="16" t="s">
        <v>95</v>
      </c>
      <c r="B8" s="16"/>
      <c r="C8" s="16"/>
      <c r="D8" s="16"/>
      <c r="E8" s="16"/>
      <c r="F8" s="16"/>
      <c r="G8" s="16"/>
      <c r="H8" s="16"/>
      <c r="I8" s="16"/>
      <c r="J8" s="16"/>
      <c r="K8" s="17" t="n">
        <v>0</v>
      </c>
      <c r="L8" s="18" t="s">
        <v>96</v>
      </c>
    </row>
    <row r="9" customFormat="false" ht="15.75" hidden="false" customHeight="true" outlineLevel="0" collapsed="false">
      <c r="A9" s="16" t="s">
        <v>97</v>
      </c>
      <c r="B9" s="16"/>
      <c r="C9" s="16"/>
      <c r="D9" s="16"/>
      <c r="E9" s="16"/>
      <c r="F9" s="16"/>
      <c r="G9" s="16"/>
      <c r="H9" s="16"/>
      <c r="I9" s="16"/>
      <c r="J9" s="16"/>
      <c r="K9" s="17" t="n">
        <v>0</v>
      </c>
      <c r="L9" s="18" t="s">
        <v>98</v>
      </c>
    </row>
    <row r="10" customFormat="false" ht="15.75" hidden="false" customHeight="true" outlineLevel="0" collapsed="false">
      <c r="A10" s="16" t="s">
        <v>99</v>
      </c>
      <c r="B10" s="16"/>
      <c r="C10" s="16"/>
      <c r="D10" s="16"/>
      <c r="E10" s="16"/>
      <c r="F10" s="16"/>
      <c r="G10" s="16"/>
      <c r="H10" s="16"/>
      <c r="I10" s="16"/>
      <c r="J10" s="16"/>
      <c r="K10" s="17" t="n">
        <v>0</v>
      </c>
      <c r="L10" s="18" t="s">
        <v>100</v>
      </c>
    </row>
    <row r="11" customFormat="false" ht="15.75" hidden="false" customHeight="true" outlineLevel="0" collapsed="false">
      <c r="A11" s="16" t="s">
        <v>101</v>
      </c>
      <c r="B11" s="16"/>
      <c r="C11" s="16"/>
      <c r="D11" s="16"/>
      <c r="E11" s="16"/>
      <c r="F11" s="16"/>
      <c r="G11" s="16"/>
      <c r="H11" s="16"/>
      <c r="I11" s="16"/>
      <c r="J11" s="16"/>
      <c r="K11" s="17" t="n">
        <v>0</v>
      </c>
      <c r="L11" s="18" t="s">
        <v>102</v>
      </c>
    </row>
    <row r="12" customFormat="false" ht="15.75" hidden="false" customHeight="true" outlineLevel="0" collapsed="false">
      <c r="A12" s="16" t="s">
        <v>103</v>
      </c>
      <c r="B12" s="16"/>
      <c r="C12" s="16"/>
      <c r="D12" s="16"/>
      <c r="E12" s="16"/>
      <c r="F12" s="16"/>
      <c r="G12" s="16"/>
      <c r="H12" s="16"/>
      <c r="I12" s="16"/>
      <c r="J12" s="16"/>
      <c r="K12" s="17" t="n">
        <v>12</v>
      </c>
      <c r="L12" s="18" t="s">
        <v>104</v>
      </c>
    </row>
    <row r="14" customFormat="false" ht="6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customFormat="false" ht="18" hidden="false" customHeight="true" outlineLevel="0" collapsed="false">
      <c r="A15" s="14" t="s">
        <v>105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8" hidden="false" customHeight="true" outlineLevel="0" collapsed="false">
      <c r="A16" s="15" t="s">
        <v>106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customFormat="false" ht="16.5" hidden="false" customHeight="true" outlineLevel="0" collapsed="false">
      <c r="A17" s="19" t="s">
        <v>107</v>
      </c>
      <c r="B17" s="19"/>
      <c r="C17" s="19"/>
      <c r="D17" s="19"/>
      <c r="E17" s="19"/>
      <c r="F17" s="19"/>
      <c r="G17" s="19"/>
      <c r="H17" s="19"/>
      <c r="I17" s="19"/>
      <c r="J17" s="19"/>
      <c r="K17" s="20" t="s">
        <v>108</v>
      </c>
      <c r="L17" s="21" t="s">
        <v>109</v>
      </c>
    </row>
    <row r="18" customFormat="false" ht="12.75" hidden="false" customHeight="true" outlineLevel="0" collapsed="false">
      <c r="B18" s="22" t="s">
        <v>110</v>
      </c>
      <c r="C18" s="22" t="s">
        <v>111</v>
      </c>
      <c r="D18" s="22" t="s">
        <v>112</v>
      </c>
      <c r="E18" s="22" t="s">
        <v>113</v>
      </c>
      <c r="F18" s="22" t="s">
        <v>114</v>
      </c>
      <c r="G18" s="22" t="s">
        <v>115</v>
      </c>
      <c r="H18" s="22" t="s">
        <v>116</v>
      </c>
      <c r="I18" s="22" t="s">
        <v>117</v>
      </c>
      <c r="J18" s="22" t="s">
        <v>118</v>
      </c>
      <c r="K18" s="22" t="s">
        <v>119</v>
      </c>
      <c r="L18" s="22" t="s">
        <v>120</v>
      </c>
      <c r="M18" s="22" t="s">
        <v>121</v>
      </c>
      <c r="N18" s="22" t="s">
        <v>119</v>
      </c>
      <c r="O18" s="22" t="s">
        <v>122</v>
      </c>
      <c r="P18" s="22" t="s">
        <v>120</v>
      </c>
      <c r="Q18" s="22" t="s">
        <v>121</v>
      </c>
    </row>
    <row r="19" customFormat="false" ht="15" hidden="false" customHeight="true" outlineLevel="0" collapsed="false">
      <c r="A19" s="23" t="s">
        <v>123</v>
      </c>
      <c r="B19" s="6" t="n">
        <v>0</v>
      </c>
      <c r="C19" s="6" t="n">
        <v>0</v>
      </c>
      <c r="D19" s="6" t="n">
        <v>6667</v>
      </c>
      <c r="E19" s="6" t="n">
        <v>6667</v>
      </c>
      <c r="F19" s="6" t="n">
        <v>6667</v>
      </c>
      <c r="G19" s="6" t="n">
        <v>6667</v>
      </c>
      <c r="H19" s="6" t="n">
        <v>6667</v>
      </c>
      <c r="I19" s="6" t="n">
        <v>6667</v>
      </c>
      <c r="J19" s="6" t="n">
        <v>6667</v>
      </c>
      <c r="K19" s="24" t="n">
        <f aca="false">N19</f>
        <v>66670</v>
      </c>
      <c r="L19" s="6"/>
      <c r="M19" s="6"/>
      <c r="N19" s="24" t="n">
        <f aca="false">SUM(B19:J19)+SUM(O19:Q19)</f>
        <v>66670</v>
      </c>
      <c r="O19" s="6" t="n">
        <v>6667</v>
      </c>
      <c r="P19" s="6" t="n">
        <v>6667</v>
      </c>
      <c r="Q19" s="6" t="n">
        <v>6667</v>
      </c>
    </row>
    <row r="20" customFormat="false" ht="15" hidden="false" customHeight="true" outlineLevel="0" collapsed="false">
      <c r="A20" s="23" t="s">
        <v>124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24" t="n">
        <f aca="false">N20</f>
        <v>0</v>
      </c>
      <c r="L20" s="6"/>
      <c r="M20" s="6"/>
      <c r="N20" s="24" t="n">
        <f aca="false">SUM(B20:J20)+SUM(O20:Q20)</f>
        <v>0</v>
      </c>
      <c r="O20" s="6" t="n">
        <v>0</v>
      </c>
      <c r="P20" s="6" t="n">
        <v>0</v>
      </c>
      <c r="Q20" s="6" t="n">
        <v>0</v>
      </c>
    </row>
    <row r="21" customFormat="false" ht="15" hidden="false" customHeight="true" outlineLevel="0" collapsed="false">
      <c r="A21" s="23" t="s">
        <v>125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24" t="n">
        <f aca="false">N21</f>
        <v>0</v>
      </c>
      <c r="L21" s="6"/>
      <c r="M21" s="6"/>
      <c r="N21" s="24" t="n">
        <f aca="false">SUM(B21:J21)+SUM(O21:Q21)</f>
        <v>0</v>
      </c>
      <c r="O21" s="6" t="n">
        <v>0</v>
      </c>
      <c r="P21" s="6" t="n">
        <v>0</v>
      </c>
      <c r="Q21" s="6" t="n">
        <v>0</v>
      </c>
    </row>
    <row r="22" customFormat="false" ht="15" hidden="false" customHeight="true" outlineLevel="0" collapsed="false">
      <c r="A22" s="23" t="s">
        <v>126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24" t="n">
        <f aca="false">N22</f>
        <v>0</v>
      </c>
      <c r="L22" s="6"/>
      <c r="M22" s="6"/>
      <c r="N22" s="24" t="n">
        <f aca="false">SUM(B22:J22)+SUM(O22:Q22)</f>
        <v>0</v>
      </c>
      <c r="O22" s="6" t="n">
        <v>0</v>
      </c>
      <c r="P22" s="6" t="n">
        <v>0</v>
      </c>
      <c r="Q22" s="6" t="n">
        <v>0</v>
      </c>
    </row>
    <row r="23" customFormat="false" ht="15.75" hidden="false" customHeight="true" outlineLevel="0" collapsed="false">
      <c r="A23" s="16" t="s">
        <v>127</v>
      </c>
      <c r="B23" s="16"/>
      <c r="C23" s="16"/>
      <c r="D23" s="16"/>
      <c r="E23" s="16"/>
      <c r="F23" s="16"/>
      <c r="G23" s="16"/>
      <c r="H23" s="16"/>
      <c r="I23" s="16"/>
      <c r="J23" s="16"/>
      <c r="K23" s="25" t="n">
        <v>0</v>
      </c>
      <c r="L23" s="18" t="s">
        <v>128</v>
      </c>
    </row>
    <row r="24" customFormat="false" ht="19.5" hidden="false" customHeight="true" outlineLevel="0" collapsed="false">
      <c r="A24" s="26" t="s">
        <v>129</v>
      </c>
      <c r="B24" s="26"/>
      <c r="C24" s="26"/>
      <c r="D24" s="26"/>
      <c r="E24" s="26"/>
      <c r="F24" s="26"/>
      <c r="G24" s="26"/>
      <c r="H24" s="26"/>
      <c r="I24" s="26"/>
      <c r="J24" s="26"/>
      <c r="K24" s="27" t="n">
        <f aca="false">SUM(K19:K22)</f>
        <v>66670</v>
      </c>
      <c r="L24" s="28" t="s">
        <v>130</v>
      </c>
    </row>
    <row r="26" customFormat="false" ht="18" hidden="false" customHeight="true" outlineLevel="0" collapsed="false">
      <c r="A26" s="15" t="s">
        <v>131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5.75" hidden="false" customHeight="true" outlineLevel="0" collapsed="false">
      <c r="A27" s="16" t="s">
        <v>132</v>
      </c>
      <c r="B27" s="16"/>
      <c r="C27" s="16"/>
      <c r="D27" s="16"/>
      <c r="E27" s="16"/>
      <c r="F27" s="16"/>
      <c r="G27" s="16"/>
      <c r="H27" s="16"/>
      <c r="I27" s="16"/>
      <c r="J27" s="16"/>
      <c r="K27" s="25" t="n">
        <v>0</v>
      </c>
      <c r="L27" s="18" t="s">
        <v>133</v>
      </c>
    </row>
    <row r="28" customFormat="false" ht="15.75" hidden="false" customHeight="true" outlineLevel="0" collapsed="false">
      <c r="A28" s="16" t="s">
        <v>134</v>
      </c>
      <c r="B28" s="16"/>
      <c r="C28" s="16"/>
      <c r="D28" s="16"/>
      <c r="E28" s="16"/>
      <c r="F28" s="16"/>
      <c r="G28" s="16"/>
      <c r="H28" s="16"/>
      <c r="I28" s="16"/>
      <c r="J28" s="16"/>
      <c r="K28" s="25" t="n">
        <v>0</v>
      </c>
      <c r="L28" s="18" t="s">
        <v>135</v>
      </c>
    </row>
    <row r="29" customFormat="false" ht="15.75" hidden="false" customHeight="true" outlineLevel="0" collapsed="false">
      <c r="A29" s="29" t="s">
        <v>136</v>
      </c>
      <c r="B29" s="29"/>
      <c r="C29" s="29"/>
      <c r="D29" s="29"/>
      <c r="E29" s="29"/>
      <c r="F29" s="29"/>
      <c r="G29" s="29"/>
      <c r="H29" s="29"/>
      <c r="I29" s="29"/>
      <c r="J29" s="29"/>
      <c r="K29" s="30" t="n">
        <f aca="false">MAX(0,K27-K28)</f>
        <v>0</v>
      </c>
      <c r="L29" s="31" t="s">
        <v>137</v>
      </c>
    </row>
    <row r="31" customFormat="false" ht="18" hidden="false" customHeight="true" outlineLevel="0" collapsed="false">
      <c r="A31" s="15" t="s">
        <v>138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15.75" hidden="false" customHeight="true" outlineLevel="0" collapsed="false">
      <c r="A32" s="16" t="s">
        <v>139</v>
      </c>
      <c r="B32" s="16"/>
      <c r="C32" s="16"/>
      <c r="D32" s="16"/>
      <c r="E32" s="16"/>
      <c r="F32" s="16"/>
      <c r="G32" s="16"/>
      <c r="H32" s="16"/>
      <c r="I32" s="16"/>
      <c r="J32" s="16"/>
      <c r="K32" s="25" t="n">
        <v>0</v>
      </c>
      <c r="L32" s="18" t="s">
        <v>140</v>
      </c>
    </row>
    <row r="33" customFormat="false" ht="15.75" hidden="false" customHeight="true" outlineLevel="0" collapsed="false">
      <c r="A33" s="16" t="s">
        <v>141</v>
      </c>
      <c r="B33" s="16"/>
      <c r="C33" s="16"/>
      <c r="D33" s="16"/>
      <c r="E33" s="16"/>
      <c r="F33" s="16"/>
      <c r="G33" s="16"/>
      <c r="H33" s="16"/>
      <c r="I33" s="16"/>
      <c r="J33" s="16"/>
      <c r="K33" s="25" t="n">
        <v>0</v>
      </c>
      <c r="L33" s="18" t="s">
        <v>142</v>
      </c>
    </row>
    <row r="35" customFormat="false" ht="18" hidden="false" customHeight="true" outlineLevel="0" collapsed="false">
      <c r="A35" s="15" t="s">
        <v>143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5.75" hidden="false" customHeight="true" outlineLevel="0" collapsed="false">
      <c r="A36" s="16" t="s">
        <v>144</v>
      </c>
      <c r="B36" s="16"/>
      <c r="C36" s="16"/>
      <c r="D36" s="16"/>
      <c r="E36" s="16"/>
      <c r="F36" s="16"/>
      <c r="G36" s="16"/>
      <c r="H36" s="16"/>
      <c r="I36" s="16"/>
      <c r="J36" s="16"/>
      <c r="K36" s="25" t="n">
        <v>0</v>
      </c>
      <c r="L36" s="18" t="s">
        <v>145</v>
      </c>
    </row>
    <row r="37" customFormat="false" ht="15.75" hidden="false" customHeight="true" outlineLevel="0" collapsed="false">
      <c r="A37" s="16" t="s">
        <v>146</v>
      </c>
      <c r="B37" s="16"/>
      <c r="C37" s="16"/>
      <c r="D37" s="16"/>
      <c r="E37" s="16"/>
      <c r="F37" s="16"/>
      <c r="G37" s="16"/>
      <c r="H37" s="16"/>
      <c r="I37" s="16"/>
      <c r="J37" s="16"/>
      <c r="K37" s="25" t="n">
        <v>0</v>
      </c>
      <c r="L37" s="18" t="s">
        <v>147</v>
      </c>
    </row>
    <row r="38" customFormat="false" ht="15.75" hidden="false" customHeight="true" outlineLevel="0" collapsed="false">
      <c r="A38" s="16" t="s">
        <v>148</v>
      </c>
      <c r="B38" s="16"/>
      <c r="C38" s="16"/>
      <c r="D38" s="16"/>
      <c r="E38" s="16"/>
      <c r="F38" s="16"/>
      <c r="G38" s="16"/>
      <c r="H38" s="16"/>
      <c r="I38" s="16"/>
      <c r="J38" s="16"/>
      <c r="K38" s="25" t="n">
        <v>0</v>
      </c>
      <c r="L38" s="18" t="s">
        <v>149</v>
      </c>
    </row>
    <row r="39" customFormat="false" ht="15.75" hidden="false" customHeight="true" outlineLevel="0" collapsed="false">
      <c r="A39" s="16" t="s">
        <v>150</v>
      </c>
      <c r="B39" s="16"/>
      <c r="C39" s="16"/>
      <c r="D39" s="16"/>
      <c r="E39" s="16"/>
      <c r="F39" s="16"/>
      <c r="G39" s="16"/>
      <c r="H39" s="16"/>
      <c r="I39" s="16"/>
      <c r="J39" s="16"/>
      <c r="K39" s="25" t="n">
        <v>0</v>
      </c>
      <c r="L39" s="18" t="s">
        <v>151</v>
      </c>
    </row>
    <row r="40" customFormat="false" ht="15.75" hidden="false" customHeight="true" outlineLevel="0" collapsed="false">
      <c r="A40" s="16" t="s">
        <v>152</v>
      </c>
      <c r="B40" s="16"/>
      <c r="C40" s="16"/>
      <c r="D40" s="16"/>
      <c r="E40" s="16"/>
      <c r="F40" s="16"/>
      <c r="G40" s="16"/>
      <c r="H40" s="16"/>
      <c r="I40" s="16"/>
      <c r="J40" s="16"/>
      <c r="K40" s="25" t="n">
        <v>0</v>
      </c>
      <c r="L40" s="18" t="s">
        <v>153</v>
      </c>
    </row>
    <row r="41" customFormat="false" ht="15.75" hidden="false" customHeight="true" outlineLevel="0" collapsed="false">
      <c r="A41" s="16" t="s">
        <v>154</v>
      </c>
      <c r="B41" s="16"/>
      <c r="C41" s="16"/>
      <c r="D41" s="16"/>
      <c r="E41" s="16"/>
      <c r="F41" s="16"/>
      <c r="G41" s="16"/>
      <c r="H41" s="16"/>
      <c r="I41" s="16"/>
      <c r="J41" s="16"/>
      <c r="K41" s="25" t="n">
        <v>0</v>
      </c>
      <c r="L41" s="18" t="s">
        <v>155</v>
      </c>
    </row>
    <row r="42" customFormat="false" ht="15.75" hidden="false" customHeight="true" outlineLevel="0" collapsed="false">
      <c r="A42" s="29" t="s">
        <v>156</v>
      </c>
      <c r="B42" s="29"/>
      <c r="C42" s="29"/>
      <c r="D42" s="29"/>
      <c r="E42" s="29"/>
      <c r="F42" s="29"/>
      <c r="G42" s="29"/>
      <c r="H42" s="29"/>
      <c r="I42" s="29"/>
      <c r="J42" s="29"/>
      <c r="K42" s="30" t="n">
        <f aca="false">MAX(-999999,K36-K37-K38-K39-K40-K41)</f>
        <v>0</v>
      </c>
      <c r="L42" s="31" t="s">
        <v>157</v>
      </c>
    </row>
    <row r="44" customFormat="false" ht="18" hidden="false" customHeight="true" outlineLevel="0" collapsed="false">
      <c r="A44" s="15" t="s">
        <v>158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15.75" hidden="false" customHeight="true" outlineLevel="0" collapsed="false">
      <c r="A45" s="16" t="s">
        <v>159</v>
      </c>
      <c r="B45" s="16"/>
      <c r="C45" s="16"/>
      <c r="D45" s="16"/>
      <c r="E45" s="16"/>
      <c r="F45" s="16"/>
      <c r="G45" s="16"/>
      <c r="H45" s="16"/>
      <c r="I45" s="16"/>
      <c r="J45" s="16"/>
      <c r="K45" s="25" t="n">
        <v>0</v>
      </c>
      <c r="L45" s="18" t="s">
        <v>160</v>
      </c>
    </row>
    <row r="46" customFormat="false" ht="15.75" hidden="false" customHeight="true" outlineLevel="0" collapsed="false">
      <c r="A46" s="16" t="s">
        <v>161</v>
      </c>
      <c r="B46" s="16"/>
      <c r="C46" s="16"/>
      <c r="D46" s="16"/>
      <c r="E46" s="16"/>
      <c r="F46" s="16"/>
      <c r="G46" s="16"/>
      <c r="H46" s="16"/>
      <c r="I46" s="16"/>
      <c r="J46" s="16"/>
      <c r="K46" s="25" t="n">
        <v>0</v>
      </c>
      <c r="L46" s="18" t="s">
        <v>162</v>
      </c>
    </row>
    <row r="47" customFormat="false" ht="15.75" hidden="false" customHeight="true" outlineLevel="0" collapsed="false">
      <c r="A47" s="16" t="s">
        <v>163</v>
      </c>
      <c r="B47" s="16"/>
      <c r="C47" s="16"/>
      <c r="D47" s="16"/>
      <c r="E47" s="16"/>
      <c r="F47" s="16"/>
      <c r="G47" s="16"/>
      <c r="H47" s="16"/>
      <c r="I47" s="16"/>
      <c r="J47" s="16"/>
      <c r="K47" s="25" t="n">
        <v>200</v>
      </c>
      <c r="L47" s="18" t="s">
        <v>164</v>
      </c>
    </row>
    <row r="48" customFormat="false" ht="15.75" hidden="false" customHeight="true" outlineLevel="0" collapsed="false">
      <c r="A48" s="16" t="s">
        <v>165</v>
      </c>
      <c r="B48" s="16"/>
      <c r="C48" s="16"/>
      <c r="D48" s="16"/>
      <c r="E48" s="16"/>
      <c r="F48" s="16"/>
      <c r="G48" s="16"/>
      <c r="H48" s="16"/>
      <c r="I48" s="16"/>
      <c r="J48" s="16"/>
      <c r="K48" s="25" t="n">
        <v>0</v>
      </c>
      <c r="L48" s="18" t="s">
        <v>166</v>
      </c>
    </row>
    <row r="49" customFormat="false" ht="15.75" hidden="false" customHeight="true" outlineLevel="0" collapsed="false">
      <c r="A49" s="16" t="s">
        <v>167</v>
      </c>
      <c r="B49" s="16"/>
      <c r="C49" s="16"/>
      <c r="D49" s="16"/>
      <c r="E49" s="16"/>
      <c r="F49" s="16"/>
      <c r="G49" s="16"/>
      <c r="H49" s="16"/>
      <c r="I49" s="16"/>
      <c r="J49" s="16"/>
      <c r="K49" s="25" t="n">
        <v>0</v>
      </c>
      <c r="L49" s="18" t="s">
        <v>168</v>
      </c>
    </row>
    <row r="50" customFormat="false" ht="15.75" hidden="false" customHeight="true" outlineLevel="0" collapsed="false">
      <c r="A50" s="16" t="s">
        <v>169</v>
      </c>
      <c r="B50" s="16"/>
      <c r="C50" s="16"/>
      <c r="D50" s="16"/>
      <c r="E50" s="16"/>
      <c r="F50" s="16"/>
      <c r="G50" s="16"/>
      <c r="H50" s="16"/>
      <c r="I50" s="16"/>
      <c r="J50" s="16"/>
      <c r="K50" s="25" t="n">
        <v>0</v>
      </c>
      <c r="L50" s="18" t="s">
        <v>170</v>
      </c>
    </row>
    <row r="51" customFormat="false" ht="15.75" hidden="false" customHeight="true" outlineLevel="0" collapsed="false">
      <c r="A51" s="16" t="s">
        <v>171</v>
      </c>
      <c r="B51" s="16"/>
      <c r="C51" s="16"/>
      <c r="D51" s="16"/>
      <c r="E51" s="16"/>
      <c r="F51" s="16"/>
      <c r="G51" s="16"/>
      <c r="H51" s="16"/>
      <c r="I51" s="16"/>
      <c r="J51" s="16"/>
      <c r="K51" s="25" t="n">
        <v>0</v>
      </c>
      <c r="L51" s="18" t="s">
        <v>172</v>
      </c>
    </row>
    <row r="52" customFormat="false" ht="15.75" hidden="false" customHeight="true" outlineLevel="0" collapsed="false">
      <c r="A52" s="29" t="s">
        <v>173</v>
      </c>
      <c r="B52" s="29"/>
      <c r="C52" s="29"/>
      <c r="D52" s="29"/>
      <c r="E52" s="29"/>
      <c r="F52" s="29"/>
      <c r="G52" s="29"/>
      <c r="H52" s="29"/>
      <c r="I52" s="29"/>
      <c r="J52" s="29"/>
      <c r="K52" s="30" t="n">
        <f aca="false">MAX(0,K45+K46+K47+K48+K49-K50)</f>
        <v>200</v>
      </c>
      <c r="L52" s="31" t="s">
        <v>174</v>
      </c>
    </row>
    <row r="53" customFormat="false" ht="15.75" hidden="false" customHeight="true" outlineLevel="0" collapsed="false">
      <c r="A53" s="29" t="s">
        <v>175</v>
      </c>
      <c r="B53" s="29"/>
      <c r="C53" s="29"/>
      <c r="D53" s="29"/>
      <c r="E53" s="29"/>
      <c r="F53" s="29"/>
      <c r="G53" s="29"/>
      <c r="H53" s="29"/>
      <c r="I53" s="29"/>
      <c r="J53" s="29"/>
      <c r="K53" s="30" t="n">
        <f aca="false">MIN(K52,Rates!B56)</f>
        <v>0.02</v>
      </c>
      <c r="L53" s="31" t="s">
        <v>176</v>
      </c>
    </row>
    <row r="54" customFormat="false" ht="15.75" hidden="false" customHeight="true" outlineLevel="0" collapsed="false">
      <c r="A54" s="29" t="s">
        <v>177</v>
      </c>
      <c r="B54" s="29"/>
      <c r="C54" s="29"/>
      <c r="D54" s="29"/>
      <c r="E54" s="29"/>
      <c r="F54" s="29"/>
      <c r="G54" s="29"/>
      <c r="H54" s="29"/>
      <c r="I54" s="29"/>
      <c r="J54" s="29"/>
      <c r="K54" s="30" t="n">
        <f aca="false">MAX(0,K52-K53)</f>
        <v>199.98</v>
      </c>
      <c r="L54" s="31" t="s">
        <v>178</v>
      </c>
    </row>
    <row r="55" customFormat="false" ht="15.75" hidden="false" customHeight="true" outlineLevel="0" collapsed="false">
      <c r="A55" s="29" t="s">
        <v>179</v>
      </c>
      <c r="B55" s="29"/>
      <c r="C55" s="29"/>
      <c r="D55" s="29"/>
      <c r="E55" s="29"/>
      <c r="F55" s="29"/>
      <c r="G55" s="29"/>
      <c r="H55" s="29"/>
      <c r="I55" s="29"/>
      <c r="J55" s="29"/>
      <c r="K55" s="32" t="n">
        <f aca="false">ROUND(K54*Rates!B114,2)</f>
        <v>0</v>
      </c>
      <c r="L55" s="31" t="s">
        <v>180</v>
      </c>
    </row>
    <row r="56" customFormat="false" ht="15.75" hidden="false" customHeight="true" outlineLevel="0" collapsed="false">
      <c r="A56" s="29" t="s">
        <v>181</v>
      </c>
      <c r="B56" s="29"/>
      <c r="C56" s="29"/>
      <c r="D56" s="29"/>
      <c r="E56" s="29"/>
      <c r="F56" s="29"/>
      <c r="G56" s="29"/>
      <c r="H56" s="29"/>
      <c r="I56" s="29"/>
      <c r="J56" s="29"/>
      <c r="K56" s="32" t="n">
        <f aca="false">ROUND(K55*Rates!B115,2)</f>
        <v>0</v>
      </c>
      <c r="L56" s="31" t="s">
        <v>182</v>
      </c>
    </row>
    <row r="57" customFormat="false" ht="15.75" hidden="false" customHeight="true" outlineLevel="0" collapsed="false">
      <c r="A57" s="29" t="s">
        <v>183</v>
      </c>
      <c r="B57" s="29"/>
      <c r="C57" s="29"/>
      <c r="D57" s="29"/>
      <c r="E57" s="29"/>
      <c r="F57" s="29"/>
      <c r="G57" s="29"/>
      <c r="H57" s="29"/>
      <c r="I57" s="29"/>
      <c r="J57" s="29"/>
      <c r="K57" s="32" t="n">
        <f aca="false">IF(K8=1,ROUND(K55*Rates!B11,2),0)</f>
        <v>0</v>
      </c>
      <c r="L57" s="31" t="s">
        <v>184</v>
      </c>
    </row>
    <row r="58" customFormat="false" ht="15.75" hidden="false" customHeight="true" outlineLevel="0" collapsed="false">
      <c r="A58" s="29" t="s">
        <v>185</v>
      </c>
      <c r="B58" s="29"/>
      <c r="C58" s="29"/>
      <c r="D58" s="29"/>
      <c r="E58" s="29"/>
      <c r="F58" s="29"/>
      <c r="G58" s="29"/>
      <c r="H58" s="29"/>
      <c r="I58" s="29"/>
      <c r="J58" s="29"/>
      <c r="K58" s="32" t="n">
        <f aca="false">MIN(K55,K51)</f>
        <v>0</v>
      </c>
      <c r="L58" s="31" t="s">
        <v>186</v>
      </c>
    </row>
    <row r="59" customFormat="false" ht="19.5" hidden="false" customHeight="true" outlineLevel="0" collapsed="false">
      <c r="A59" s="33" t="s">
        <v>187</v>
      </c>
      <c r="B59" s="33"/>
      <c r="C59" s="33"/>
      <c r="D59" s="33"/>
      <c r="E59" s="33"/>
      <c r="F59" s="33"/>
      <c r="G59" s="33"/>
      <c r="H59" s="33"/>
      <c r="I59" s="33"/>
      <c r="J59" s="33"/>
      <c r="K59" s="34" t="n">
        <f aca="false">ROUND(K55+K56+K57-K58,2)</f>
        <v>0</v>
      </c>
      <c r="L59" s="35" t="s">
        <v>188</v>
      </c>
    </row>
    <row r="60" customFormat="false" ht="15.75" hidden="false" customHeight="true" outlineLevel="0" collapsed="false">
      <c r="A60" s="16" t="s">
        <v>189</v>
      </c>
      <c r="B60" s="16"/>
      <c r="C60" s="16"/>
      <c r="D60" s="16"/>
      <c r="E60" s="16"/>
      <c r="F60" s="16"/>
      <c r="G60" s="16"/>
      <c r="H60" s="16"/>
      <c r="I60" s="16"/>
      <c r="J60" s="16"/>
      <c r="K60" s="17" t="n">
        <v>0</v>
      </c>
      <c r="L60" s="18" t="s">
        <v>190</v>
      </c>
    </row>
    <row r="62" customFormat="false" ht="18" hidden="false" customHeight="true" outlineLevel="0" collapsed="false">
      <c r="A62" s="15" t="s">
        <v>191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customFormat="false" ht="15.75" hidden="false" customHeight="true" outlineLevel="0" collapsed="false">
      <c r="A63" s="16" t="s">
        <v>192</v>
      </c>
      <c r="B63" s="16"/>
      <c r="C63" s="16"/>
      <c r="D63" s="16"/>
      <c r="E63" s="16"/>
      <c r="F63" s="16"/>
      <c r="G63" s="16"/>
      <c r="H63" s="16"/>
      <c r="I63" s="16"/>
      <c r="J63" s="16"/>
      <c r="K63" s="25" t="n">
        <v>0</v>
      </c>
      <c r="L63" s="18" t="s">
        <v>193</v>
      </c>
    </row>
    <row r="64" customFormat="false" ht="15.75" hidden="false" customHeight="true" outlineLevel="0" collapsed="false">
      <c r="A64" s="16" t="s">
        <v>194</v>
      </c>
      <c r="B64" s="16"/>
      <c r="C64" s="16"/>
      <c r="D64" s="16"/>
      <c r="E64" s="16"/>
      <c r="F64" s="16"/>
      <c r="G64" s="16"/>
      <c r="H64" s="16"/>
      <c r="I64" s="16"/>
      <c r="J64" s="16"/>
      <c r="K64" s="25" t="n">
        <v>0</v>
      </c>
      <c r="L64" s="18" t="s">
        <v>195</v>
      </c>
    </row>
    <row r="65" customFormat="false" ht="15.75" hidden="false" customHeight="true" outlineLevel="0" collapsed="false">
      <c r="A65" s="16" t="s">
        <v>196</v>
      </c>
      <c r="B65" s="16"/>
      <c r="C65" s="16"/>
      <c r="D65" s="16"/>
      <c r="E65" s="16"/>
      <c r="F65" s="16"/>
      <c r="G65" s="16"/>
      <c r="H65" s="16"/>
      <c r="I65" s="16"/>
      <c r="J65" s="16"/>
      <c r="K65" s="25" t="n">
        <v>0</v>
      </c>
      <c r="L65" s="18" t="s">
        <v>197</v>
      </c>
    </row>
    <row r="66" customFormat="false" ht="15.75" hidden="false" customHeight="true" outlineLevel="0" collapsed="false">
      <c r="A66" s="16" t="s">
        <v>198</v>
      </c>
      <c r="B66" s="16"/>
      <c r="C66" s="16"/>
      <c r="D66" s="16"/>
      <c r="E66" s="16"/>
      <c r="F66" s="16"/>
      <c r="G66" s="16"/>
      <c r="H66" s="16"/>
      <c r="I66" s="16"/>
      <c r="J66" s="16"/>
      <c r="K66" s="25" t="n">
        <v>0</v>
      </c>
      <c r="L66" s="18" t="s">
        <v>199</v>
      </c>
    </row>
    <row r="67" customFormat="false" ht="15.75" hidden="false" customHeight="true" outlineLevel="0" collapsed="false">
      <c r="A67" s="16" t="s">
        <v>200</v>
      </c>
      <c r="B67" s="16"/>
      <c r="C67" s="16"/>
      <c r="D67" s="16"/>
      <c r="E67" s="16"/>
      <c r="F67" s="16"/>
      <c r="G67" s="16"/>
      <c r="H67" s="16"/>
      <c r="I67" s="16"/>
      <c r="J67" s="16"/>
      <c r="K67" s="25" t="n">
        <v>0</v>
      </c>
      <c r="L67" s="18" t="s">
        <v>201</v>
      </c>
    </row>
    <row r="68" customFormat="false" ht="15.75" hidden="false" customHeight="true" outlineLevel="0" collapsed="false">
      <c r="A68" s="16" t="s">
        <v>202</v>
      </c>
      <c r="B68" s="16"/>
      <c r="C68" s="16"/>
      <c r="D68" s="16"/>
      <c r="E68" s="16"/>
      <c r="F68" s="16"/>
      <c r="G68" s="16"/>
      <c r="H68" s="16"/>
      <c r="I68" s="16"/>
      <c r="J68" s="16"/>
      <c r="K68" s="25" t="n">
        <v>0</v>
      </c>
      <c r="L68" s="18" t="s">
        <v>203</v>
      </c>
    </row>
    <row r="69" customFormat="false" ht="15.75" hidden="false" customHeight="true" outlineLevel="0" collapsed="false">
      <c r="A69" s="29" t="s">
        <v>204</v>
      </c>
      <c r="B69" s="29"/>
      <c r="C69" s="29"/>
      <c r="D69" s="29"/>
      <c r="E69" s="29"/>
      <c r="F69" s="29"/>
      <c r="G69" s="29"/>
      <c r="H69" s="29"/>
      <c r="I69" s="29"/>
      <c r="J69" s="29"/>
      <c r="K69" s="30" t="n">
        <f aca="false">K63+K64+K65+K66+K67+K68</f>
        <v>0</v>
      </c>
      <c r="L69" s="31"/>
    </row>
    <row r="71" customFormat="false" ht="19.5" hidden="false" customHeight="true" outlineLevel="0" collapsed="false">
      <c r="A71" s="26" t="s">
        <v>205</v>
      </c>
      <c r="B71" s="26"/>
      <c r="C71" s="26"/>
      <c r="D71" s="26"/>
      <c r="E71" s="26"/>
      <c r="F71" s="26"/>
      <c r="G71" s="26"/>
      <c r="H71" s="26"/>
      <c r="I71" s="26"/>
      <c r="J71" s="26"/>
      <c r="K71" s="27" t="n">
        <f aca="false">K24+K29+K32+K42+IF(K60=1,K52,0)+K69</f>
        <v>66670</v>
      </c>
      <c r="L71" s="28" t="s">
        <v>206</v>
      </c>
    </row>
    <row r="73" customFormat="false" ht="6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customFormat="false" ht="18" hidden="false" customHeight="true" outlineLevel="0" collapsed="false">
      <c r="A74" s="14" t="s">
        <v>207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customFormat="false" ht="18" hidden="false" customHeight="true" outlineLevel="0" collapsed="false">
      <c r="A75" s="15" t="s">
        <v>208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customFormat="false" ht="15.75" hidden="false" customHeight="true" outlineLevel="0" collapsed="false">
      <c r="A76" s="16" t="s">
        <v>209</v>
      </c>
      <c r="B76" s="16"/>
      <c r="C76" s="16"/>
      <c r="D76" s="16"/>
      <c r="E76" s="16"/>
      <c r="F76" s="16"/>
      <c r="G76" s="16"/>
      <c r="H76" s="16"/>
      <c r="I76" s="16"/>
      <c r="J76" s="16"/>
      <c r="K76" s="17" t="n">
        <v>8</v>
      </c>
      <c r="L76" s="18" t="s">
        <v>210</v>
      </c>
    </row>
    <row r="77" customFormat="false" ht="15.75" hidden="false" customHeight="true" outlineLevel="0" collapsed="false">
      <c r="A77" s="16" t="s">
        <v>211</v>
      </c>
      <c r="B77" s="16"/>
      <c r="C77" s="16"/>
      <c r="D77" s="16"/>
      <c r="E77" s="16"/>
      <c r="F77" s="16"/>
      <c r="G77" s="16"/>
      <c r="H77" s="16"/>
      <c r="I77" s="16"/>
      <c r="J77" s="16"/>
      <c r="K77" s="17" t="n">
        <v>241</v>
      </c>
      <c r="L77" s="18" t="s">
        <v>212</v>
      </c>
    </row>
    <row r="78" customFormat="false" ht="15.75" hidden="false" customHeight="true" outlineLevel="0" collapsed="false">
      <c r="A78" s="16" t="s">
        <v>213</v>
      </c>
      <c r="B78" s="16"/>
      <c r="C78" s="16"/>
      <c r="D78" s="16"/>
      <c r="E78" s="16"/>
      <c r="F78" s="16"/>
      <c r="G78" s="16"/>
      <c r="H78" s="16"/>
      <c r="I78" s="16"/>
      <c r="J78" s="16"/>
      <c r="K78" s="25" t="n">
        <v>756</v>
      </c>
      <c r="L78" s="18" t="s">
        <v>214</v>
      </c>
    </row>
    <row r="79" customFormat="false" ht="15.75" hidden="false" customHeight="true" outlineLevel="0" collapsed="false">
      <c r="A79" s="29" t="s">
        <v>215</v>
      </c>
      <c r="B79" s="29"/>
      <c r="C79" s="29"/>
      <c r="D79" s="29"/>
      <c r="E79" s="29"/>
      <c r="F79" s="29"/>
      <c r="G79" s="29"/>
      <c r="H79" s="29"/>
      <c r="I79" s="29"/>
      <c r="J79" s="29"/>
      <c r="K79" s="30" t="n">
        <f aca="false">IF(K76&lt;=Rates!B114,K77*K76*Rates!B112,K77*(Rates!B114*Rates!B112+(K76-Rates!B114)*Rates!B113))</f>
        <v>0</v>
      </c>
      <c r="L79" s="31" t="s">
        <v>216</v>
      </c>
    </row>
    <row r="80" customFormat="false" ht="15.75" hidden="false" customHeight="true" outlineLevel="0" collapsed="false">
      <c r="A80" s="29" t="s">
        <v>217</v>
      </c>
      <c r="B80" s="29"/>
      <c r="C80" s="29"/>
      <c r="D80" s="29"/>
      <c r="E80" s="29"/>
      <c r="F80" s="29"/>
      <c r="G80" s="29"/>
      <c r="H80" s="29"/>
      <c r="I80" s="29"/>
      <c r="J80" s="29"/>
      <c r="K80" s="30" t="n">
        <f aca="false">MAX(K79,K78)</f>
        <v>756</v>
      </c>
      <c r="L80" s="31" t="s">
        <v>218</v>
      </c>
    </row>
    <row r="82" customFormat="false" ht="18" hidden="false" customHeight="true" outlineLevel="0" collapsed="false">
      <c r="A82" s="15" t="s">
        <v>219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customFormat="false" ht="15.75" hidden="false" customHeight="true" outlineLevel="0" collapsed="false">
      <c r="A83" s="16" t="s">
        <v>220</v>
      </c>
      <c r="B83" s="16"/>
      <c r="C83" s="16"/>
      <c r="D83" s="16"/>
      <c r="E83" s="16"/>
      <c r="F83" s="16"/>
      <c r="G83" s="16"/>
      <c r="H83" s="16"/>
      <c r="I83" s="16"/>
      <c r="J83" s="16"/>
      <c r="K83" s="17" t="n">
        <v>124</v>
      </c>
      <c r="L83" s="18" t="s">
        <v>221</v>
      </c>
    </row>
    <row r="84" customFormat="false" ht="15.75" hidden="false" customHeight="true" outlineLevel="0" collapsed="false">
      <c r="A84" s="29" t="s">
        <v>222</v>
      </c>
      <c r="B84" s="29"/>
      <c r="C84" s="29"/>
      <c r="D84" s="29"/>
      <c r="E84" s="29"/>
      <c r="F84" s="29"/>
      <c r="G84" s="29"/>
      <c r="H84" s="29"/>
      <c r="I84" s="29"/>
      <c r="J84" s="29"/>
      <c r="K84" s="30" t="n">
        <f aca="false">MIN(K83,210)*Rates!B110</f>
        <v>0</v>
      </c>
      <c r="L84" s="31" t="s">
        <v>223</v>
      </c>
    </row>
    <row r="85" customFormat="false" ht="15.75" hidden="false" customHeight="true" outlineLevel="0" collapsed="false">
      <c r="A85" s="16" t="s">
        <v>224</v>
      </c>
      <c r="B85" s="16"/>
      <c r="C85" s="16"/>
      <c r="D85" s="16"/>
      <c r="E85" s="16"/>
      <c r="F85" s="16"/>
      <c r="G85" s="16"/>
      <c r="H85" s="16"/>
      <c r="I85" s="16"/>
      <c r="J85" s="16"/>
      <c r="K85" s="25" t="n">
        <v>0</v>
      </c>
      <c r="L85" s="18" t="s">
        <v>225</v>
      </c>
    </row>
    <row r="86" customFormat="false" ht="15.75" hidden="false" customHeight="true" outlineLevel="0" collapsed="false">
      <c r="A86" s="29" t="s">
        <v>226</v>
      </c>
      <c r="B86" s="29"/>
      <c r="C86" s="29"/>
      <c r="D86" s="29"/>
      <c r="E86" s="29"/>
      <c r="F86" s="29"/>
      <c r="G86" s="29"/>
      <c r="H86" s="29"/>
      <c r="I86" s="29"/>
      <c r="J86" s="29"/>
      <c r="K86" s="30" t="n">
        <f aca="false">MAX(K84,K85)</f>
        <v>0</v>
      </c>
      <c r="L86" s="31" t="s">
        <v>227</v>
      </c>
    </row>
    <row r="88" customFormat="false" ht="18" hidden="false" customHeight="true" outlineLevel="0" collapsed="false">
      <c r="A88" s="15" t="s">
        <v>228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customFormat="false" ht="15.75" hidden="false" customHeight="true" outlineLevel="0" collapsed="false">
      <c r="A89" s="16" t="s">
        <v>229</v>
      </c>
      <c r="B89" s="16"/>
      <c r="C89" s="16"/>
      <c r="D89" s="16"/>
      <c r="E89" s="16"/>
      <c r="F89" s="16"/>
      <c r="G89" s="16"/>
      <c r="H89" s="16"/>
      <c r="I89" s="16"/>
      <c r="J89" s="16"/>
      <c r="K89" s="25" t="n">
        <v>400</v>
      </c>
      <c r="L89" s="18" t="s">
        <v>230</v>
      </c>
    </row>
    <row r="90" customFormat="false" ht="15.75" hidden="false" customHeight="true" outlineLevel="0" collapsed="false">
      <c r="A90" s="16" t="s">
        <v>231</v>
      </c>
      <c r="B90" s="16"/>
      <c r="C90" s="16"/>
      <c r="D90" s="16"/>
      <c r="E90" s="16"/>
      <c r="F90" s="16"/>
      <c r="G90" s="16"/>
      <c r="H90" s="16"/>
      <c r="I90" s="16"/>
      <c r="J90" s="16"/>
      <c r="K90" s="25" t="n">
        <v>0</v>
      </c>
      <c r="L90" s="18" t="s">
        <v>232</v>
      </c>
    </row>
    <row r="91" customFormat="false" ht="15.75" hidden="false" customHeight="true" outlineLevel="0" collapsed="false">
      <c r="A91" s="16" t="s">
        <v>233</v>
      </c>
      <c r="B91" s="16"/>
      <c r="C91" s="16"/>
      <c r="D91" s="16"/>
      <c r="E91" s="16"/>
      <c r="F91" s="16"/>
      <c r="G91" s="16"/>
      <c r="H91" s="16"/>
      <c r="I91" s="16"/>
      <c r="J91" s="16"/>
      <c r="K91" s="25" t="n">
        <v>60</v>
      </c>
      <c r="L91" s="18" t="s">
        <v>234</v>
      </c>
    </row>
    <row r="92" customFormat="false" ht="15.75" hidden="false" customHeight="true" outlineLevel="0" collapsed="false">
      <c r="A92" s="16" t="s">
        <v>235</v>
      </c>
      <c r="B92" s="16"/>
      <c r="C92" s="16"/>
      <c r="D92" s="16"/>
      <c r="E92" s="16"/>
      <c r="F92" s="16"/>
      <c r="G92" s="16"/>
      <c r="H92" s="16"/>
      <c r="I92" s="16"/>
      <c r="J92" s="16"/>
      <c r="K92" s="25" t="n">
        <v>0</v>
      </c>
      <c r="L92" s="18" t="s">
        <v>236</v>
      </c>
    </row>
    <row r="93" customFormat="false" ht="15.75" hidden="false" customHeight="true" outlineLevel="0" collapsed="false">
      <c r="A93" s="16" t="s">
        <v>237</v>
      </c>
      <c r="B93" s="16"/>
      <c r="C93" s="16"/>
      <c r="D93" s="16"/>
      <c r="E93" s="16"/>
      <c r="F93" s="16"/>
      <c r="G93" s="16"/>
      <c r="H93" s="16"/>
      <c r="I93" s="16"/>
      <c r="J93" s="16"/>
      <c r="K93" s="25" t="n">
        <v>0</v>
      </c>
      <c r="L93" s="18" t="s">
        <v>238</v>
      </c>
    </row>
    <row r="94" customFormat="false" ht="15.75" hidden="false" customHeight="true" outlineLevel="0" collapsed="false">
      <c r="A94" s="16" t="s">
        <v>239</v>
      </c>
      <c r="B94" s="16"/>
      <c r="C94" s="16"/>
      <c r="D94" s="16"/>
      <c r="E94" s="16"/>
      <c r="F94" s="16"/>
      <c r="G94" s="16"/>
      <c r="H94" s="16"/>
      <c r="I94" s="16"/>
      <c r="J94" s="16"/>
      <c r="K94" s="25" t="n">
        <v>0</v>
      </c>
      <c r="L94" s="18" t="s">
        <v>240</v>
      </c>
    </row>
    <row r="95" customFormat="false" ht="15.75" hidden="false" customHeight="true" outlineLevel="0" collapsed="false">
      <c r="A95" s="29" t="s">
        <v>241</v>
      </c>
      <c r="B95" s="29"/>
      <c r="C95" s="29"/>
      <c r="D95" s="29"/>
      <c r="E95" s="29"/>
      <c r="F95" s="29"/>
      <c r="G95" s="29"/>
      <c r="H95" s="29"/>
      <c r="I95" s="29"/>
      <c r="J95" s="29"/>
      <c r="K95" s="30" t="n">
        <f aca="false">K89+K90+K91+K92+K93+K94</f>
        <v>460</v>
      </c>
      <c r="L95" s="31"/>
    </row>
    <row r="97" customFormat="false" ht="18" hidden="false" customHeight="true" outlineLevel="0" collapsed="false">
      <c r="A97" s="15" t="s">
        <v>242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customFormat="false" ht="15.75" hidden="false" customHeight="true" outlineLevel="0" collapsed="false">
      <c r="A98" s="16" t="s">
        <v>243</v>
      </c>
      <c r="B98" s="16"/>
      <c r="C98" s="16"/>
      <c r="D98" s="16"/>
      <c r="E98" s="16"/>
      <c r="F98" s="16"/>
      <c r="G98" s="16"/>
      <c r="H98" s="16"/>
      <c r="I98" s="16"/>
      <c r="J98" s="16"/>
      <c r="K98" s="25" t="n">
        <v>10</v>
      </c>
      <c r="L98" s="18" t="s">
        <v>244</v>
      </c>
    </row>
    <row r="99" customFormat="false" ht="15.75" hidden="false" customHeight="true" outlineLevel="0" collapsed="false">
      <c r="A99" s="29" t="s">
        <v>245</v>
      </c>
      <c r="B99" s="29"/>
      <c r="C99" s="29"/>
      <c r="D99" s="29"/>
      <c r="E99" s="29"/>
      <c r="F99" s="29"/>
      <c r="G99" s="29"/>
      <c r="H99" s="29"/>
      <c r="I99" s="29"/>
      <c r="J99" s="29"/>
      <c r="K99" s="30" t="n">
        <f aca="false">MIN(Rates!B115,ROUND(K98*Rates!B116,2))*12</f>
        <v>0</v>
      </c>
      <c r="L99" s="31" t="s">
        <v>246</v>
      </c>
    </row>
    <row r="101" customFormat="false" ht="18" hidden="false" customHeight="true" outlineLevel="0" collapsed="false">
      <c r="A101" s="15" t="s">
        <v>247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customFormat="false" ht="15.75" hidden="false" customHeight="true" outlineLevel="0" collapsed="false">
      <c r="A102" s="16" t="s">
        <v>248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25" t="n">
        <v>0</v>
      </c>
      <c r="L102" s="18" t="s">
        <v>249</v>
      </c>
    </row>
    <row r="103" customFormat="false" ht="15.75" hidden="false" customHeight="true" outlineLevel="0" collapsed="false">
      <c r="A103" s="16" t="s">
        <v>250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25" t="n">
        <v>0</v>
      </c>
      <c r="L103" s="18" t="s">
        <v>251</v>
      </c>
    </row>
    <row r="104" customFormat="false" ht="15.75" hidden="false" customHeight="true" outlineLevel="0" collapsed="false">
      <c r="A104" s="16" t="s">
        <v>252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25" t="n">
        <v>0</v>
      </c>
      <c r="L104" s="18" t="s">
        <v>253</v>
      </c>
    </row>
    <row r="106" customFormat="false" ht="18" hidden="false" customHeight="true" outlineLevel="0" collapsed="false">
      <c r="A106" s="15" t="s">
        <v>254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customFormat="false" ht="15.75" hidden="false" customHeight="true" outlineLevel="0" collapsed="false">
      <c r="A107" s="16" t="s">
        <v>255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25" t="n">
        <v>0</v>
      </c>
      <c r="L107" s="18" t="s">
        <v>256</v>
      </c>
    </row>
    <row r="108" customFormat="false" ht="15.75" hidden="false" customHeight="true" outlineLevel="0" collapsed="false">
      <c r="A108" s="16" t="s">
        <v>257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25" t="n">
        <v>0</v>
      </c>
      <c r="L108" s="18" t="s">
        <v>258</v>
      </c>
    </row>
    <row r="110" customFormat="false" ht="18" hidden="false" customHeight="true" outlineLevel="0" collapsed="false">
      <c r="A110" s="15" t="s">
        <v>259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customFormat="false" ht="15.75" hidden="false" customHeight="true" outlineLevel="0" collapsed="false">
      <c r="A111" s="16" t="s">
        <v>260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25" t="n">
        <v>0</v>
      </c>
      <c r="L111" s="18" t="s">
        <v>261</v>
      </c>
    </row>
    <row r="112" customFormat="false" ht="15.75" hidden="false" customHeight="true" outlineLevel="0" collapsed="false">
      <c r="A112" s="16" t="s">
        <v>262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25" t="n">
        <v>0</v>
      </c>
      <c r="L112" s="18" t="s">
        <v>263</v>
      </c>
    </row>
    <row r="114" customFormat="false" ht="19.5" hidden="false" customHeight="true" outlineLevel="0" collapsed="false">
      <c r="A114" s="26" t="s">
        <v>264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7" t="n">
        <f aca="false">K80+K86+K95+K99+K102+K103+K104+K107+K108+K111+K112</f>
        <v>1216</v>
      </c>
      <c r="L114" s="28"/>
    </row>
    <row r="115" customFormat="false" ht="15.75" hidden="false" customHeight="true" outlineLevel="0" collapsed="false">
      <c r="A115" s="29" t="s">
        <v>265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30" t="n">
        <f aca="false">MAX(K114,Rates!B49)</f>
        <v>1216</v>
      </c>
      <c r="L115" s="31" t="s">
        <v>266</v>
      </c>
    </row>
    <row r="118" customFormat="false" ht="18" hidden="false" customHeight="true" outlineLevel="0" collapsed="false">
      <c r="A118" s="14" t="s">
        <v>267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customFormat="false" ht="18" hidden="false" customHeight="true" outlineLevel="0" collapsed="false">
      <c r="A119" s="15" t="s">
        <v>268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customFormat="false" ht="15.75" hidden="false" customHeight="true" outlineLevel="0" collapsed="false">
      <c r="A120" s="16" t="s">
        <v>269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25" t="n">
        <v>0</v>
      </c>
      <c r="L120" s="18" t="s">
        <v>270</v>
      </c>
    </row>
    <row r="121" customFormat="false" ht="15.75" hidden="false" customHeight="true" outlineLevel="0" collapsed="false">
      <c r="A121" s="16" t="s">
        <v>271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25" t="n">
        <v>0</v>
      </c>
      <c r="L121" s="18" t="s">
        <v>272</v>
      </c>
    </row>
    <row r="122" customFormat="false" ht="15.75" hidden="false" customHeight="true" outlineLevel="0" collapsed="false">
      <c r="A122" s="16" t="s">
        <v>273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25" t="n">
        <v>0</v>
      </c>
      <c r="L122" s="18" t="s">
        <v>274</v>
      </c>
    </row>
    <row r="123" customFormat="false" ht="15.75" hidden="false" customHeight="true" outlineLevel="0" collapsed="false">
      <c r="A123" s="29" t="s">
        <v>275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30" t="n">
        <f aca="false">MIN(K120+K121+K122,Rates!B117)</f>
        <v>0</v>
      </c>
      <c r="L123" s="31" t="s">
        <v>276</v>
      </c>
    </row>
    <row r="125" customFormat="false" ht="18" hidden="false" customHeight="true" outlineLevel="0" collapsed="false">
      <c r="A125" s="15" t="s">
        <v>277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customFormat="false" ht="15.75" hidden="false" customHeight="true" outlineLevel="0" collapsed="false">
      <c r="A126" s="16" t="s">
        <v>278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25" t="n">
        <v>0</v>
      </c>
      <c r="L126" s="18" t="s">
        <v>279</v>
      </c>
    </row>
    <row r="127" customFormat="false" ht="15.75" hidden="false" customHeight="true" outlineLevel="0" collapsed="false">
      <c r="A127" s="16" t="s">
        <v>280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25" t="n">
        <v>0</v>
      </c>
      <c r="L127" s="18" t="s">
        <v>281</v>
      </c>
    </row>
    <row r="128" customFormat="false" ht="15.75" hidden="false" customHeight="true" outlineLevel="0" collapsed="false">
      <c r="A128" s="16" t="s">
        <v>282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25" t="n">
        <v>0</v>
      </c>
      <c r="L128" s="18" t="s">
        <v>283</v>
      </c>
    </row>
    <row r="129" customFormat="false" ht="15.75" hidden="false" customHeight="true" outlineLevel="0" collapsed="false">
      <c r="A129" s="16" t="s">
        <v>284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25" t="n">
        <v>0</v>
      </c>
      <c r="L129" s="18" t="s">
        <v>285</v>
      </c>
    </row>
    <row r="131" customFormat="false" ht="18" hidden="false" customHeight="true" outlineLevel="0" collapsed="false">
      <c r="A131" s="15" t="s">
        <v>286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customFormat="false" ht="15.75" hidden="false" customHeight="true" outlineLevel="0" collapsed="false">
      <c r="A132" s="16" t="s">
        <v>287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25" t="n">
        <v>0</v>
      </c>
      <c r="L132" s="18" t="s">
        <v>288</v>
      </c>
    </row>
    <row r="133" customFormat="false" ht="15.75" hidden="false" customHeight="true" outlineLevel="0" collapsed="false">
      <c r="A133" s="29" t="s">
        <v>289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30" t="n">
        <f aca="false">MIN(K132*0.8,4800*MAX(1,K9))</f>
        <v>0</v>
      </c>
      <c r="L133" s="31" t="s">
        <v>290</v>
      </c>
    </row>
    <row r="134" customFormat="false" ht="15.75" hidden="false" customHeight="true" outlineLevel="0" collapsed="false">
      <c r="A134" s="16" t="s">
        <v>291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25" t="n">
        <v>0</v>
      </c>
      <c r="L134" s="18" t="s">
        <v>292</v>
      </c>
    </row>
    <row r="135" customFormat="false" ht="15.75" hidden="false" customHeight="true" outlineLevel="0" collapsed="false">
      <c r="A135" s="29" t="s">
        <v>293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30" t="n">
        <f aca="false">MIN(K134*0.3,5000)</f>
        <v>0</v>
      </c>
      <c r="L135" s="31"/>
    </row>
    <row r="137" customFormat="false" ht="18" hidden="false" customHeight="true" outlineLevel="0" collapsed="false">
      <c r="A137" s="15" t="s">
        <v>294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customFormat="false" ht="15.75" hidden="false" customHeight="true" outlineLevel="0" collapsed="false">
      <c r="A138" s="16" t="s">
        <v>295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25" t="n">
        <v>0</v>
      </c>
      <c r="L138" s="18" t="s">
        <v>296</v>
      </c>
    </row>
    <row r="139" customFormat="false" ht="15.75" hidden="false" customHeight="true" outlineLevel="0" collapsed="false">
      <c r="A139" s="29" t="s">
        <v>297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30" t="n">
        <f aca="false">MIN(K138,K71*0.2)</f>
        <v>0</v>
      </c>
      <c r="L139" s="31"/>
    </row>
    <row r="140" customFormat="false" ht="15.75" hidden="false" customHeight="true" outlineLevel="0" collapsed="false">
      <c r="A140" s="16" t="s">
        <v>298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25" t="n">
        <v>0</v>
      </c>
      <c r="L140" s="18" t="s">
        <v>299</v>
      </c>
    </row>
    <row r="142" customFormat="false" ht="18" hidden="false" customHeight="true" outlineLevel="0" collapsed="false">
      <c r="A142" s="15" t="s">
        <v>300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customFormat="false" ht="15.75" hidden="false" customHeight="true" outlineLevel="0" collapsed="false">
      <c r="A143" s="16" t="s">
        <v>301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25" t="n">
        <v>0</v>
      </c>
      <c r="L143" s="18" t="s">
        <v>302</v>
      </c>
    </row>
    <row r="145" customFormat="false" ht="18" hidden="false" customHeight="true" outlineLevel="0" collapsed="false">
      <c r="A145" s="15" t="s">
        <v>303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customFormat="false" ht="15.75" hidden="false" customHeight="true" outlineLevel="0" collapsed="false">
      <c r="A146" s="16" t="s">
        <v>304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25" t="n">
        <v>0</v>
      </c>
      <c r="L146" s="18" t="s">
        <v>305</v>
      </c>
    </row>
    <row r="148" customFormat="false" ht="19.5" hidden="false" customHeight="true" outlineLevel="0" collapsed="false">
      <c r="A148" s="26" t="s">
        <v>306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7" t="n">
        <f aca="false">K123+K126+K127+K128+K133+K135+K139+K140+K143+K146</f>
        <v>0</v>
      </c>
      <c r="L148" s="28"/>
    </row>
    <row r="151" customFormat="false" ht="18" hidden="false" customHeight="true" outlineLevel="0" collapsed="false">
      <c r="A151" s="14" t="s">
        <v>307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 customFormat="false" ht="18" hidden="false" customHeight="true" outlineLevel="0" collapsed="false">
      <c r="A152" s="15" t="s">
        <v>308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customFormat="false" ht="15.75" hidden="false" customHeight="true" outlineLevel="0" collapsed="false">
      <c r="A153" s="16" t="s">
        <v>309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25" t="n">
        <v>0</v>
      </c>
      <c r="L153" s="18" t="s">
        <v>310</v>
      </c>
    </row>
    <row r="154" customFormat="false" ht="15.75" hidden="false" customHeight="true" outlineLevel="0" collapsed="false">
      <c r="A154" s="16" t="s">
        <v>311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25" t="n">
        <v>0</v>
      </c>
      <c r="L154" s="18" t="s">
        <v>312</v>
      </c>
    </row>
    <row r="155" customFormat="false" ht="15.75" hidden="false" customHeight="true" outlineLevel="0" collapsed="false">
      <c r="A155" s="16" t="s">
        <v>313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25" t="n">
        <v>0</v>
      </c>
      <c r="L155" s="18" t="s">
        <v>314</v>
      </c>
    </row>
    <row r="156" customFormat="false" ht="15.75" hidden="false" customHeight="true" outlineLevel="0" collapsed="false">
      <c r="A156" s="16" t="s">
        <v>315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25" t="n">
        <v>0</v>
      </c>
      <c r="L156" s="18" t="s">
        <v>316</v>
      </c>
    </row>
    <row r="157" customFormat="false" ht="15.75" hidden="false" customHeight="true" outlineLevel="0" collapsed="false">
      <c r="A157" s="16" t="s">
        <v>317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25" t="n">
        <v>0</v>
      </c>
      <c r="L157" s="18" t="s">
        <v>318</v>
      </c>
    </row>
    <row r="158" customFormat="false" ht="15.75" hidden="false" customHeight="true" outlineLevel="0" collapsed="false">
      <c r="A158" s="29" t="s">
        <v>319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30" t="n">
        <f aca="false">K153+K154+K155+K156+K157</f>
        <v>0</v>
      </c>
      <c r="L158" s="31"/>
    </row>
    <row r="159" customFormat="false" ht="15.75" hidden="false" customHeight="true" outlineLevel="0" collapsed="false">
      <c r="A159" s="29" t="s">
        <v>320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30" t="n">
        <f aca="false">ROUND(K71*Rates!B42,0)</f>
        <v>2000</v>
      </c>
      <c r="L159" s="31" t="s">
        <v>321</v>
      </c>
    </row>
    <row r="160" customFormat="false" ht="15.75" hidden="false" customHeight="true" outlineLevel="0" collapsed="false">
      <c r="A160" s="29" t="s">
        <v>322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30" t="n">
        <f aca="false">MAX(0,K158-K159)</f>
        <v>0</v>
      </c>
      <c r="L160" s="31" t="s">
        <v>323</v>
      </c>
    </row>
    <row r="162" customFormat="false" ht="18" hidden="false" customHeight="true" outlineLevel="0" collapsed="false">
      <c r="A162" s="15" t="s">
        <v>324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customFormat="false" ht="15.75" hidden="false" customHeight="true" outlineLevel="0" collapsed="false">
      <c r="A163" s="29" t="s">
        <v>325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30" t="n">
        <f aca="false">IF(K10=0,0,IF(K10=20,384,IF(K10=30,620,IF(K10=40,860,IF(K10=50,1140,IF(K10=60,1440,IF(K10=70,1780,IF(K10=80,2120,IF(K10=90,2460,2840)))))))))</f>
        <v>0</v>
      </c>
      <c r="L163" s="31" t="s">
        <v>326</v>
      </c>
    </row>
    <row r="164" customFormat="false" ht="15.75" hidden="false" customHeight="true" outlineLevel="0" collapsed="false">
      <c r="A164" s="29" t="s">
        <v>327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30" t="n">
        <f aca="false">IF(K11=1,7400,0)</f>
        <v>0</v>
      </c>
      <c r="L164" s="31" t="s">
        <v>328</v>
      </c>
    </row>
    <row r="165" customFormat="false" ht="15.75" hidden="false" customHeight="true" outlineLevel="0" collapsed="false">
      <c r="A165" s="16" t="s">
        <v>329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25" t="n">
        <v>0</v>
      </c>
      <c r="L165" s="18" t="s">
        <v>330</v>
      </c>
    </row>
    <row r="166" customFormat="false" ht="15.75" hidden="false" customHeight="true" outlineLevel="0" collapsed="false">
      <c r="A166" s="29" t="s">
        <v>331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30" t="n">
        <f aca="false">IF(K9&gt;0,K9*Rates!B110,0)</f>
        <v>0</v>
      </c>
      <c r="L166" s="31" t="s">
        <v>332</v>
      </c>
    </row>
    <row r="168" customFormat="false" ht="19.5" hidden="false" customHeight="true" outlineLevel="0" collapsed="false">
      <c r="A168" s="26" t="s">
        <v>333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7" t="n">
        <f aca="false">K160+K163+K164+K165</f>
        <v>0</v>
      </c>
      <c r="L168" s="28"/>
    </row>
    <row r="171" customFormat="false" ht="18" hidden="false" customHeight="true" outlineLevel="0" collapsed="false">
      <c r="A171" s="14" t="s">
        <v>334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 customFormat="false" ht="15.75" hidden="false" customHeight="true" outlineLevel="0" collapsed="false">
      <c r="A172" s="29" t="s">
        <v>335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36" t="n">
        <f aca="false">IF(K9=0,Rates!B22+Rates!B22,MAX(Rates!B22-(K9-1)*Rates!B22,0.005))</f>
        <v>0.026</v>
      </c>
      <c r="L172" s="31" t="s">
        <v>336</v>
      </c>
    </row>
    <row r="173" customFormat="false" ht="15.75" hidden="false" customHeight="true" outlineLevel="0" collapsed="false">
      <c r="A173" s="29" t="s">
        <v>337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30" t="n">
        <f aca="false">ROUND(MIN(K24,Rates!B27)*Rates!B15,2)</f>
        <v>6200.31</v>
      </c>
      <c r="L173" s="31" t="s">
        <v>338</v>
      </c>
    </row>
    <row r="174" customFormat="false" ht="15.75" hidden="false" customHeight="true" outlineLevel="0" collapsed="false">
      <c r="A174" s="29" t="s">
        <v>339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30" t="n">
        <f aca="false">ROUND(MIN(K24,Rates!B27)*Rates!B18,2)</f>
        <v>5683.62</v>
      </c>
      <c r="L174" s="31" t="s">
        <v>340</v>
      </c>
    </row>
    <row r="175" customFormat="false" ht="15.75" hidden="false" customHeight="true" outlineLevel="0" collapsed="false">
      <c r="A175" s="29" t="s">
        <v>341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30" t="n">
        <f aca="false">ROUND(MIN(K24,Rates!B27)*K168,2)</f>
        <v>0</v>
      </c>
      <c r="L175" s="31" t="s">
        <v>342</v>
      </c>
    </row>
    <row r="176" customFormat="false" ht="15.75" hidden="false" customHeight="true" outlineLevel="0" collapsed="false">
      <c r="A176" s="29" t="s">
        <v>343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30" t="n">
        <f aca="false">ROUND(MIN(K24,Rates!B27)*Rates!B22,2)</f>
        <v>866.71</v>
      </c>
      <c r="L176" s="31" t="s">
        <v>344</v>
      </c>
    </row>
    <row r="177" customFormat="false" ht="19.5" hidden="false" customHeight="true" outlineLevel="0" collapsed="false">
      <c r="A177" s="33" t="s">
        <v>345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7" t="n">
        <f aca="false">K173+K174+K175+K176</f>
        <v>12750.64</v>
      </c>
      <c r="L177" s="35" t="s">
        <v>346</v>
      </c>
    </row>
    <row r="180" customFormat="false" ht="18" hidden="false" customHeight="true" outlineLevel="0" collapsed="false">
      <c r="A180" s="14" t="s">
        <v>347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 customFormat="false" ht="15.75" hidden="false" customHeight="true" outlineLevel="0" collapsed="false">
      <c r="A181" s="16" t="s">
        <v>348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25" t="n">
        <v>0</v>
      </c>
      <c r="L181" s="18" t="s">
        <v>349</v>
      </c>
    </row>
    <row r="182" customFormat="false" ht="15.75" hidden="false" customHeight="true" outlineLevel="0" collapsed="false">
      <c r="A182" s="16" t="s">
        <v>350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25" t="n">
        <v>0</v>
      </c>
      <c r="L182" s="18" t="s">
        <v>351</v>
      </c>
    </row>
    <row r="183" customFormat="false" ht="15.75" hidden="false" customHeight="true" outlineLevel="0" collapsed="false">
      <c r="A183" s="29" t="s">
        <v>352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30" t="n">
        <f aca="false">MIN(K181+K182,K71)</f>
        <v>0</v>
      </c>
      <c r="L183" s="31" t="s">
        <v>353</v>
      </c>
    </row>
    <row r="186" customFormat="false" ht="18" hidden="false" customHeight="true" outlineLevel="0" collapsed="false">
      <c r="A186" s="14" t="s">
        <v>354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 customFormat="false" ht="15.75" hidden="false" customHeight="true" outlineLevel="0" collapsed="false">
      <c r="A187" s="29" t="s">
        <v>355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30" t="n">
        <f aca="false">ROUND(Rates!B11*MIN(K12,12)/12,0)</f>
        <v>0</v>
      </c>
      <c r="L187" s="31" t="s">
        <v>356</v>
      </c>
    </row>
    <row r="188" customFormat="false" ht="15.75" hidden="false" customHeight="true" outlineLevel="0" collapsed="false">
      <c r="A188" s="29" t="s">
        <v>357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30" t="n">
        <f aca="false">K71</f>
        <v>66670</v>
      </c>
      <c r="L188" s="31"/>
    </row>
    <row r="189" customFormat="false" ht="15.75" hidden="false" customHeight="true" outlineLevel="0" collapsed="false">
      <c r="A189" s="29" t="s">
        <v>358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30" t="n">
        <f aca="false">-K177</f>
        <v>-12750.64</v>
      </c>
      <c r="L189" s="31"/>
    </row>
    <row r="190" customFormat="false" ht="15.75" hidden="false" customHeight="true" outlineLevel="0" collapsed="false">
      <c r="A190" s="29" t="s">
        <v>359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30" t="n">
        <f aca="false">-K115</f>
        <v>-1216</v>
      </c>
      <c r="L190" s="31"/>
    </row>
    <row r="191" customFormat="false" ht="15.75" hidden="false" customHeight="true" outlineLevel="0" collapsed="false">
      <c r="A191" s="29" t="s">
        <v>360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30" t="n">
        <f aca="false">-K148</f>
        <v>-0</v>
      </c>
      <c r="L191" s="31"/>
    </row>
    <row r="192" customFormat="false" ht="15.75" hidden="false" customHeight="true" outlineLevel="0" collapsed="false">
      <c r="A192" s="29" t="s">
        <v>361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30" t="n">
        <f aca="false">-K168</f>
        <v>-0</v>
      </c>
      <c r="L192" s="31"/>
    </row>
    <row r="193" customFormat="false" ht="15.75" hidden="false" customHeight="true" outlineLevel="0" collapsed="false">
      <c r="A193" s="29" t="s">
        <v>362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30" t="n">
        <f aca="false">-K183</f>
        <v>-0</v>
      </c>
      <c r="L193" s="31"/>
    </row>
    <row r="194" customFormat="false" ht="15.75" hidden="false" customHeight="true" outlineLevel="0" collapsed="false">
      <c r="A194" s="29" t="s">
        <v>363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30" t="n">
        <f aca="false">-K187</f>
        <v>-0</v>
      </c>
      <c r="L194" s="31"/>
    </row>
    <row r="195" customFormat="false" ht="19.5" hidden="false" customHeight="true" outlineLevel="0" collapsed="false">
      <c r="A195" s="26" t="s">
        <v>364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7" t="n">
        <f aca="false">MAX(0,K188+K189+K190+K191+K192+K193+K194)</f>
        <v>52703.36</v>
      </c>
      <c r="L195" s="28" t="s">
        <v>365</v>
      </c>
    </row>
    <row r="198" customFormat="false" ht="18" hidden="false" customHeight="true" outlineLevel="0" collapsed="false">
      <c r="A198" s="14" t="s">
        <v>366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 customFormat="false" ht="15.75" hidden="false" customHeight="true" outlineLevel="0" collapsed="false">
      <c r="A199" s="38" t="s">
        <v>367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9" t="n">
        <f aca="false">IF(K195&lt;=12096,0,IF(K195&lt;=17443,(972.87*((K195-12096)/10000)+1400)*((K195-12096)/10000),IF(K195&lt;=66760,(212.02*((K195-17443)/10000)+2397)*((K195-17443)/10000)+966.53,IF(K195&lt;=277825,0.42*K195-9336.45,0.45*K195-17671.2))))</f>
        <v>12054.4680837362</v>
      </c>
      <c r="L199" s="40" t="s">
        <v>368</v>
      </c>
    </row>
    <row r="200" customFormat="false" ht="15.75" hidden="false" customHeight="true" outlineLevel="0" collapsed="false">
      <c r="A200" s="29" t="s">
        <v>369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32" t="n">
        <f aca="false">-K33</f>
        <v>-0</v>
      </c>
      <c r="L200" s="31" t="s">
        <v>370</v>
      </c>
    </row>
    <row r="201" customFormat="false" ht="15.75" hidden="false" customHeight="true" outlineLevel="0" collapsed="false">
      <c r="A201" s="38" t="s">
        <v>371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9" t="n">
        <f aca="false">MAX(0,ROUND(K199+K200,2))</f>
        <v>12054.47</v>
      </c>
      <c r="L201" s="40"/>
    </row>
    <row r="202" customFormat="false" ht="15.75" hidden="false" customHeight="true" outlineLevel="0" collapsed="false">
      <c r="A202" s="29" t="s">
        <v>372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32" t="n">
        <f aca="false">IF(K201&lt;=Rates!B10,0,ROUND(K201*Rates!B9,2))</f>
        <v>0</v>
      </c>
      <c r="L202" s="31" t="s">
        <v>373</v>
      </c>
    </row>
    <row r="203" customFormat="false" ht="15.75" hidden="false" customHeight="true" outlineLevel="0" collapsed="false">
      <c r="A203" s="29" t="s">
        <v>374</v>
      </c>
      <c r="B203" s="29"/>
      <c r="C203" s="29"/>
      <c r="D203" s="29"/>
      <c r="E203" s="29"/>
      <c r="F203" s="29"/>
      <c r="G203" s="29"/>
      <c r="H203" s="29"/>
      <c r="I203" s="29"/>
      <c r="J203" s="29"/>
      <c r="K203" s="32" t="n">
        <f aca="false">IF(K13=1,ROUND(K201*Rates!B11,2),0)</f>
        <v>0</v>
      </c>
      <c r="L203" s="31" t="s">
        <v>375</v>
      </c>
    </row>
    <row r="204" customFormat="false" ht="19.5" hidden="false" customHeight="true" outlineLevel="0" collapsed="false">
      <c r="A204" s="33" t="s">
        <v>376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4" t="n">
        <f aca="false">ROUND(K201+K202+K203,2)</f>
        <v>12054.47</v>
      </c>
      <c r="L204" s="35"/>
    </row>
    <row r="207" customFormat="false" ht="18" hidden="false" customHeight="true" outlineLevel="0" collapsed="false">
      <c r="A207" s="14" t="s">
        <v>377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 customFormat="false" ht="19.5" hidden="false" customHeight="true" outlineLevel="0" collapsed="false">
      <c r="A208" s="33" t="s">
        <v>378</v>
      </c>
      <c r="B208" s="33"/>
      <c r="C208" s="33"/>
      <c r="D208" s="33"/>
      <c r="E208" s="33"/>
      <c r="F208" s="33"/>
      <c r="G208" s="33"/>
      <c r="H208" s="33"/>
      <c r="I208" s="33"/>
      <c r="J208" s="33"/>
      <c r="K208" s="37" t="n">
        <f aca="false">K204+K59+K177</f>
        <v>24805.11</v>
      </c>
      <c r="L208" s="35" t="s">
        <v>379</v>
      </c>
    </row>
    <row r="209" customFormat="false" ht="19.5" hidden="false" customHeight="true" outlineLevel="0" collapsed="false">
      <c r="A209" s="41" t="s">
        <v>380</v>
      </c>
      <c r="B209" s="41"/>
      <c r="C209" s="41"/>
      <c r="D209" s="41"/>
      <c r="E209" s="41"/>
      <c r="F209" s="41"/>
      <c r="G209" s="41"/>
      <c r="H209" s="41"/>
      <c r="I209" s="41"/>
      <c r="J209" s="41"/>
      <c r="K209" s="42" t="n">
        <f aca="false">K24-K204-K177</f>
        <v>41864.89</v>
      </c>
      <c r="L209" s="43" t="s">
        <v>381</v>
      </c>
    </row>
    <row r="212" customFormat="false" ht="18" hidden="false" customHeight="true" outlineLevel="0" collapsed="false">
      <c r="A212" s="14" t="s">
        <v>382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 customFormat="false" ht="19.5" hidden="false" customHeight="true" outlineLevel="0" collapsed="false">
      <c r="A213" s="44" t="s">
        <v>383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</row>
    <row r="214" customFormat="false" ht="15.75" hidden="false" customHeight="true" outlineLevel="0" collapsed="false">
      <c r="A214" s="16" t="s">
        <v>384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25" t="n">
        <v>0</v>
      </c>
      <c r="L214" s="18" t="s">
        <v>385</v>
      </c>
    </row>
    <row r="215" customFormat="false" ht="15.75" hidden="false" customHeight="true" outlineLevel="0" collapsed="false">
      <c r="A215" s="16" t="s">
        <v>386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25" t="n">
        <v>0</v>
      </c>
      <c r="L215" s="18" t="s">
        <v>387</v>
      </c>
    </row>
    <row r="216" customFormat="false" ht="15.75" hidden="false" customHeight="true" outlineLevel="0" collapsed="false">
      <c r="A216" s="16" t="s">
        <v>388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25" t="n">
        <v>0</v>
      </c>
      <c r="L216" s="18" t="s">
        <v>389</v>
      </c>
    </row>
    <row r="217" customFormat="false" ht="15.75" hidden="false" customHeight="true" outlineLevel="0" collapsed="false">
      <c r="A217" s="16" t="s">
        <v>390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25" t="n">
        <v>0</v>
      </c>
      <c r="L217" s="18" t="s">
        <v>391</v>
      </c>
    </row>
    <row r="218" customFormat="false" ht="19.5" hidden="false" customHeight="true" outlineLevel="0" collapsed="false">
      <c r="A218" s="26" t="s">
        <v>392</v>
      </c>
      <c r="B218" s="26"/>
      <c r="C218" s="26"/>
      <c r="D218" s="26"/>
      <c r="E218" s="26"/>
      <c r="F218" s="26"/>
      <c r="G218" s="26"/>
      <c r="H218" s="26"/>
      <c r="I218" s="26"/>
      <c r="J218" s="26"/>
      <c r="K218" s="27" t="n">
        <f aca="false">K214+K215+K216+K217</f>
        <v>0</v>
      </c>
      <c r="L218" s="28" t="s">
        <v>393</v>
      </c>
    </row>
    <row r="220" customFormat="false" ht="19.5" hidden="false" customHeight="true" outlineLevel="0" collapsed="false">
      <c r="A220" s="41" t="s">
        <v>394</v>
      </c>
      <c r="B220" s="41"/>
      <c r="C220" s="41"/>
      <c r="D220" s="41"/>
      <c r="E220" s="41"/>
      <c r="F220" s="41"/>
      <c r="G220" s="41"/>
      <c r="H220" s="41"/>
      <c r="I220" s="41"/>
      <c r="J220" s="41"/>
      <c r="K220" s="45" t="n">
        <f aca="false">ROUND(K218-K204-K59,2)</f>
        <v>-12054.47</v>
      </c>
      <c r="L220" s="43" t="s">
        <v>395</v>
      </c>
    </row>
    <row r="223" customFormat="false" ht="18" hidden="false" customHeight="true" outlineLevel="0" collapsed="false">
      <c r="A223" s="14" t="s">
        <v>396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customFormat="false" ht="15.75" hidden="false" customHeight="true" outlineLevel="0" collapsed="false">
      <c r="A224" s="46" t="s">
        <v>397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7" t="n">
        <f aca="false">K24</f>
        <v>66670</v>
      </c>
      <c r="L224" s="48"/>
    </row>
    <row r="225" customFormat="false" ht="15.75" hidden="false" customHeight="true" outlineLevel="0" collapsed="false">
      <c r="A225" s="46" t="s">
        <v>398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7" t="n">
        <f aca="false">K71</f>
        <v>66670</v>
      </c>
      <c r="L225" s="48"/>
    </row>
    <row r="226" customFormat="false" ht="15.75" hidden="false" customHeight="true" outlineLevel="0" collapsed="false">
      <c r="A226" s="46" t="s">
        <v>399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7" t="n">
        <f aca="false">K195</f>
        <v>52703.36</v>
      </c>
      <c r="L226" s="48"/>
    </row>
    <row r="227" customFormat="false" ht="15.75" hidden="false" customHeight="true" outlineLevel="0" collapsed="false">
      <c r="A227" s="46" t="s">
        <v>400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9" t="n">
        <f aca="false">K204</f>
        <v>12054.47</v>
      </c>
      <c r="L227" s="48"/>
    </row>
    <row r="228" customFormat="false" ht="15.75" hidden="false" customHeight="true" outlineLevel="0" collapsed="false">
      <c r="A228" s="46" t="s">
        <v>401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50" t="n">
        <f aca="false">IFERROR(K204/K24,0)</f>
        <v>0.18080800959952</v>
      </c>
      <c r="L228" s="48"/>
    </row>
    <row r="229" customFormat="false" ht="15.75" hidden="false" customHeight="true" outlineLevel="0" collapsed="false">
      <c r="A229" s="46" t="s">
        <v>402</v>
      </c>
      <c r="B229" s="46"/>
      <c r="C229" s="46"/>
      <c r="D229" s="46"/>
      <c r="E229" s="46"/>
      <c r="F229" s="46"/>
      <c r="G229" s="46"/>
      <c r="H229" s="46"/>
      <c r="I229" s="46"/>
      <c r="J229" s="46"/>
      <c r="K229" s="50" t="n">
        <f aca="false">IFERROR(K204/K71,0)</f>
        <v>0.18080800959952</v>
      </c>
      <c r="L229" s="48"/>
    </row>
    <row r="230" customFormat="false" ht="15.75" hidden="false" customHeight="true" outlineLevel="0" collapsed="false">
      <c r="A230" s="46" t="s">
        <v>403</v>
      </c>
      <c r="B230" s="46"/>
      <c r="C230" s="46"/>
      <c r="D230" s="46"/>
      <c r="E230" s="46"/>
      <c r="F230" s="46"/>
      <c r="G230" s="46"/>
      <c r="H230" s="46"/>
      <c r="I230" s="46"/>
      <c r="J230" s="46"/>
      <c r="K230" s="47" t="n">
        <f aca="false">K177</f>
        <v>12750.64</v>
      </c>
      <c r="L230" s="48"/>
    </row>
    <row r="231" customFormat="false" ht="15.75" hidden="false" customHeight="true" outlineLevel="0" collapsed="false">
      <c r="A231" s="46" t="s">
        <v>404</v>
      </c>
      <c r="B231" s="46"/>
      <c r="C231" s="46"/>
      <c r="D231" s="46"/>
      <c r="E231" s="46"/>
      <c r="F231" s="46"/>
      <c r="G231" s="46"/>
      <c r="H231" s="46"/>
      <c r="I231" s="46"/>
      <c r="J231" s="46"/>
      <c r="K231" s="49" t="n">
        <f aca="false">K59</f>
        <v>0</v>
      </c>
      <c r="L231" s="48"/>
    </row>
    <row r="232" customFormat="false" ht="15.75" hidden="false" customHeight="true" outlineLevel="0" collapsed="false">
      <c r="A232" s="46" t="s">
        <v>405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7" t="n">
        <f aca="false">K208</f>
        <v>24805.11</v>
      </c>
      <c r="L232" s="48"/>
    </row>
    <row r="233" customFormat="false" ht="15.75" hidden="false" customHeight="true" outlineLevel="0" collapsed="false">
      <c r="A233" s="46" t="s">
        <v>406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50" t="n">
        <f aca="false">IFERROR(K208/K24,0)</f>
        <v>0.372058047097645</v>
      </c>
      <c r="L233" s="48"/>
    </row>
    <row r="234" customFormat="false" ht="15.75" hidden="false" customHeight="true" outlineLevel="0" collapsed="false">
      <c r="A234" s="46" t="s">
        <v>407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7" t="n">
        <f aca="false">K209</f>
        <v>41864.89</v>
      </c>
      <c r="L234" s="48"/>
    </row>
    <row r="235" customFormat="false" ht="15.75" hidden="false" customHeight="true" outlineLevel="0" collapsed="false">
      <c r="A235" s="46" t="s">
        <v>408</v>
      </c>
      <c r="B235" s="46"/>
      <c r="C235" s="46"/>
      <c r="D235" s="46"/>
      <c r="E235" s="46"/>
      <c r="F235" s="46"/>
      <c r="G235" s="46"/>
      <c r="H235" s="46"/>
      <c r="I235" s="46"/>
      <c r="J235" s="46"/>
      <c r="K235" s="51" t="str">
        <f aca="false">IF(K195&lt;=(Rates!B11),"0% — below Grundfreibetrag",IF(K195&lt;=69878,"14–42% progressive zone",IF(K195&lt;=277825,"42% flat rate zone","45% Reichensteuer")))</f>
        <v>14–42% progressive zone</v>
      </c>
      <c r="L235" s="48"/>
    </row>
    <row r="236" customFormat="false" ht="15.75" hidden="false" customHeight="true" outlineLevel="0" collapsed="false">
      <c r="A236" s="46" t="s">
        <v>409</v>
      </c>
      <c r="B236" s="46"/>
      <c r="C236" s="46"/>
      <c r="D236" s="46"/>
      <c r="E236" s="46"/>
      <c r="F236" s="46"/>
      <c r="G236" s="46"/>
      <c r="H236" s="46"/>
      <c r="I236" s="46"/>
      <c r="J236" s="46"/>
      <c r="K236" s="51" t="str">
        <f aca="false">IF(K202&gt;0,"YES — Soli due","NO — exempt")</f>
        <v>NO — exempt</v>
      </c>
      <c r="L236" s="48"/>
    </row>
    <row r="237" customFormat="false" ht="15.75" hidden="false" customHeight="true" outlineLevel="0" collapsed="false">
      <c r="A237" s="46" t="s">
        <v>410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9" t="n">
        <f aca="false">K220</f>
        <v>-12054.47</v>
      </c>
      <c r="L237" s="48"/>
    </row>
    <row r="239" customFormat="false" ht="18" hidden="false" customHeight="true" outlineLevel="0" collapsed="false">
      <c r="A239" s="15" t="s">
        <v>411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customFormat="false" ht="15.75" hidden="false" customHeight="true" outlineLevel="0" collapsed="false">
      <c r="A240" s="52" t="s">
        <v>412</v>
      </c>
      <c r="B240" s="52"/>
      <c r="C240" s="52"/>
      <c r="D240" s="52"/>
      <c r="E240" s="52"/>
      <c r="F240" s="52"/>
      <c r="G240" s="52"/>
      <c r="H240" s="52"/>
      <c r="I240" s="52"/>
      <c r="J240" s="52"/>
      <c r="K240" s="53" t="s">
        <v>413</v>
      </c>
      <c r="L240" s="53"/>
    </row>
    <row r="241" customFormat="false" ht="15.75" hidden="false" customHeight="true" outlineLevel="0" collapsed="false">
      <c r="A241" s="52" t="s">
        <v>414</v>
      </c>
      <c r="B241" s="52"/>
      <c r="C241" s="52"/>
      <c r="D241" s="52"/>
      <c r="E241" s="52"/>
      <c r="F241" s="52"/>
      <c r="G241" s="52"/>
      <c r="H241" s="52"/>
      <c r="I241" s="52"/>
      <c r="J241" s="52"/>
      <c r="K241" s="53" t="s">
        <v>415</v>
      </c>
      <c r="L241" s="53"/>
    </row>
    <row r="242" customFormat="false" ht="15.75" hidden="false" customHeight="true" outlineLevel="0" collapsed="false">
      <c r="A242" s="52" t="s">
        <v>416</v>
      </c>
      <c r="B242" s="52"/>
      <c r="C242" s="52"/>
      <c r="D242" s="52"/>
      <c r="E242" s="52"/>
      <c r="F242" s="52"/>
      <c r="G242" s="52"/>
      <c r="H242" s="52"/>
      <c r="I242" s="52"/>
      <c r="J242" s="52"/>
      <c r="K242" s="53" t="s">
        <v>417</v>
      </c>
      <c r="L242" s="53"/>
    </row>
    <row r="243" customFormat="false" ht="15.75" hidden="false" customHeight="true" outlineLevel="0" collapsed="false">
      <c r="A243" s="52" t="s">
        <v>418</v>
      </c>
      <c r="B243" s="52"/>
      <c r="C243" s="52"/>
      <c r="D243" s="52"/>
      <c r="E243" s="52"/>
      <c r="F243" s="52"/>
      <c r="G243" s="52"/>
      <c r="H243" s="52"/>
      <c r="I243" s="52"/>
      <c r="J243" s="52"/>
      <c r="K243" s="53" t="s">
        <v>419</v>
      </c>
      <c r="L243" s="53"/>
    </row>
    <row r="244" customFormat="false" ht="15.75" hidden="false" customHeight="true" outlineLevel="0" collapsed="false">
      <c r="A244" s="52" t="s">
        <v>420</v>
      </c>
      <c r="B244" s="52"/>
      <c r="C244" s="52"/>
      <c r="D244" s="52"/>
      <c r="E244" s="52"/>
      <c r="F244" s="52"/>
      <c r="G244" s="52"/>
      <c r="H244" s="52"/>
      <c r="I244" s="52"/>
      <c r="J244" s="52"/>
      <c r="K244" s="53" t="s">
        <v>421</v>
      </c>
      <c r="L244" s="53"/>
    </row>
  </sheetData>
  <mergeCells count="197">
    <mergeCell ref="A1:L1"/>
    <mergeCell ref="A2:L2"/>
    <mergeCell ref="A4:L4"/>
    <mergeCell ref="A6:L6"/>
    <mergeCell ref="A7:J7"/>
    <mergeCell ref="A8:J8"/>
    <mergeCell ref="A9:J9"/>
    <mergeCell ref="A10:J10"/>
    <mergeCell ref="A11:J11"/>
    <mergeCell ref="A12:J12"/>
    <mergeCell ref="A15:L15"/>
    <mergeCell ref="A16:L16"/>
    <mergeCell ref="A17:J17"/>
    <mergeCell ref="A23:J23"/>
    <mergeCell ref="A24:J24"/>
    <mergeCell ref="A26:L26"/>
    <mergeCell ref="A27:J27"/>
    <mergeCell ref="A28:J28"/>
    <mergeCell ref="A29:J29"/>
    <mergeCell ref="A31:L31"/>
    <mergeCell ref="A32:J32"/>
    <mergeCell ref="A33:J33"/>
    <mergeCell ref="A35:L35"/>
    <mergeCell ref="A36:J36"/>
    <mergeCell ref="A37:J37"/>
    <mergeCell ref="A38:J38"/>
    <mergeCell ref="A39:J39"/>
    <mergeCell ref="A40:J40"/>
    <mergeCell ref="A41:J41"/>
    <mergeCell ref="A42:J42"/>
    <mergeCell ref="A44:L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  <mergeCell ref="A58:J58"/>
    <mergeCell ref="A59:J59"/>
    <mergeCell ref="A60:J60"/>
    <mergeCell ref="A62:L62"/>
    <mergeCell ref="A63:J63"/>
    <mergeCell ref="A64:J64"/>
    <mergeCell ref="A65:J65"/>
    <mergeCell ref="A66:J66"/>
    <mergeCell ref="A67:J67"/>
    <mergeCell ref="A68:J68"/>
    <mergeCell ref="A69:J69"/>
    <mergeCell ref="A71:J71"/>
    <mergeCell ref="A74:L74"/>
    <mergeCell ref="A75:L75"/>
    <mergeCell ref="A76:J76"/>
    <mergeCell ref="A77:J77"/>
    <mergeCell ref="A78:J78"/>
    <mergeCell ref="A79:J79"/>
    <mergeCell ref="A80:J80"/>
    <mergeCell ref="A82:L82"/>
    <mergeCell ref="A83:J83"/>
    <mergeCell ref="A84:J84"/>
    <mergeCell ref="A85:J85"/>
    <mergeCell ref="A86:J86"/>
    <mergeCell ref="A88:L88"/>
    <mergeCell ref="A89:J89"/>
    <mergeCell ref="A90:J90"/>
    <mergeCell ref="A91:J91"/>
    <mergeCell ref="A92:J92"/>
    <mergeCell ref="A93:J93"/>
    <mergeCell ref="A94:J94"/>
    <mergeCell ref="A95:J95"/>
    <mergeCell ref="A97:L97"/>
    <mergeCell ref="A98:J98"/>
    <mergeCell ref="A99:J99"/>
    <mergeCell ref="A101:L101"/>
    <mergeCell ref="A102:J102"/>
    <mergeCell ref="A103:J103"/>
    <mergeCell ref="A104:J104"/>
    <mergeCell ref="A106:L106"/>
    <mergeCell ref="A107:J107"/>
    <mergeCell ref="A108:J108"/>
    <mergeCell ref="A110:L110"/>
    <mergeCell ref="A111:J111"/>
    <mergeCell ref="A112:J112"/>
    <mergeCell ref="A114:J114"/>
    <mergeCell ref="A115:J115"/>
    <mergeCell ref="A118:L118"/>
    <mergeCell ref="A119:L119"/>
    <mergeCell ref="A120:J120"/>
    <mergeCell ref="A121:J121"/>
    <mergeCell ref="A122:J122"/>
    <mergeCell ref="A123:J123"/>
    <mergeCell ref="A125:L125"/>
    <mergeCell ref="A126:J126"/>
    <mergeCell ref="A127:J127"/>
    <mergeCell ref="A128:J128"/>
    <mergeCell ref="A129:J129"/>
    <mergeCell ref="A131:L131"/>
    <mergeCell ref="A132:J132"/>
    <mergeCell ref="A133:J133"/>
    <mergeCell ref="A134:J134"/>
    <mergeCell ref="A135:J135"/>
    <mergeCell ref="A137:L137"/>
    <mergeCell ref="A138:J138"/>
    <mergeCell ref="A139:J139"/>
    <mergeCell ref="A140:J140"/>
    <mergeCell ref="A142:L142"/>
    <mergeCell ref="A143:J143"/>
    <mergeCell ref="A145:L145"/>
    <mergeCell ref="A146:J146"/>
    <mergeCell ref="A148:J148"/>
    <mergeCell ref="A151:L151"/>
    <mergeCell ref="A152:L152"/>
    <mergeCell ref="A153:J153"/>
    <mergeCell ref="A154:J154"/>
    <mergeCell ref="A155:J155"/>
    <mergeCell ref="A156:J156"/>
    <mergeCell ref="A157:J157"/>
    <mergeCell ref="A158:J158"/>
    <mergeCell ref="A159:J159"/>
    <mergeCell ref="A160:J160"/>
    <mergeCell ref="A162:L162"/>
    <mergeCell ref="A163:J163"/>
    <mergeCell ref="A164:J164"/>
    <mergeCell ref="A165:J165"/>
    <mergeCell ref="A166:J166"/>
    <mergeCell ref="A168:J168"/>
    <mergeCell ref="A171:L171"/>
    <mergeCell ref="A172:J172"/>
    <mergeCell ref="A173:J173"/>
    <mergeCell ref="A174:J174"/>
    <mergeCell ref="A175:J175"/>
    <mergeCell ref="A176:J176"/>
    <mergeCell ref="A177:J177"/>
    <mergeCell ref="A180:L180"/>
    <mergeCell ref="A181:J181"/>
    <mergeCell ref="A182:J182"/>
    <mergeCell ref="A183:J183"/>
    <mergeCell ref="A186:L186"/>
    <mergeCell ref="A187:J187"/>
    <mergeCell ref="A188:J188"/>
    <mergeCell ref="A189:J189"/>
    <mergeCell ref="A190:J190"/>
    <mergeCell ref="A191:J191"/>
    <mergeCell ref="A192:J192"/>
    <mergeCell ref="A193:J193"/>
    <mergeCell ref="A194:J194"/>
    <mergeCell ref="A195:J195"/>
    <mergeCell ref="A198:L198"/>
    <mergeCell ref="A199:J199"/>
    <mergeCell ref="A200:J200"/>
    <mergeCell ref="A201:J201"/>
    <mergeCell ref="A202:J202"/>
    <mergeCell ref="A203:J203"/>
    <mergeCell ref="A204:J204"/>
    <mergeCell ref="A207:L207"/>
    <mergeCell ref="A208:J208"/>
    <mergeCell ref="A209:J209"/>
    <mergeCell ref="A212:L212"/>
    <mergeCell ref="A213:L213"/>
    <mergeCell ref="A214:J214"/>
    <mergeCell ref="A215:J215"/>
    <mergeCell ref="A216:J216"/>
    <mergeCell ref="A217:J217"/>
    <mergeCell ref="A218:J218"/>
    <mergeCell ref="A220:J220"/>
    <mergeCell ref="A223:L223"/>
    <mergeCell ref="A224:J224"/>
    <mergeCell ref="A225:J225"/>
    <mergeCell ref="A226:J226"/>
    <mergeCell ref="A227:J227"/>
    <mergeCell ref="A228:J228"/>
    <mergeCell ref="A229:J229"/>
    <mergeCell ref="A230:J230"/>
    <mergeCell ref="A231:J231"/>
    <mergeCell ref="A232:J232"/>
    <mergeCell ref="A233:J233"/>
    <mergeCell ref="A234:J234"/>
    <mergeCell ref="A235:J235"/>
    <mergeCell ref="A236:J236"/>
    <mergeCell ref="A237:J237"/>
    <mergeCell ref="A239:L239"/>
    <mergeCell ref="A240:J240"/>
    <mergeCell ref="K240:L240"/>
    <mergeCell ref="A241:J241"/>
    <mergeCell ref="K241:L241"/>
    <mergeCell ref="A242:J242"/>
    <mergeCell ref="K242:L242"/>
    <mergeCell ref="A243:J243"/>
    <mergeCell ref="K243:L243"/>
    <mergeCell ref="A244:J244"/>
    <mergeCell ref="K244:L2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8"/>
    <col collapsed="false" customWidth="true" hidden="false" outlineLevel="0" max="11" min="11" style="1" width="16"/>
    <col collapsed="false" customWidth="true" hidden="false" outlineLevel="0" max="12" min="12" style="1" width="44"/>
    <col collapsed="false" customWidth="true" hidden="false" outlineLevel="0" max="14" min="14" style="1" width="12"/>
    <col collapsed="false" customWidth="true" hidden="false" outlineLevel="0" max="17" min="15" style="1" width="8"/>
  </cols>
  <sheetData>
    <row r="1" customFormat="false" ht="25.5" hidden="false" customHeight="true" outlineLevel="0" collapsed="false">
      <c r="A1" s="11" t="s">
        <v>422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3.5" hidden="false" customHeight="true" outlineLevel="0" collapsed="false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6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customFormat="false" ht="18" hidden="false" customHeight="true" outlineLevel="0" collapsed="false">
      <c r="A4" s="14" t="s">
        <v>423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18" hidden="false" customHeight="true" outlineLevel="0" collapsed="false">
      <c r="A6" s="15" t="s">
        <v>92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customFormat="false" ht="15.75" hidden="false" customHeight="true" outlineLevel="0" collapsed="false">
      <c r="A7" s="16" t="s">
        <v>93</v>
      </c>
      <c r="B7" s="16"/>
      <c r="C7" s="16"/>
      <c r="D7" s="16"/>
      <c r="E7" s="16"/>
      <c r="F7" s="16"/>
      <c r="G7" s="16"/>
      <c r="H7" s="16"/>
      <c r="I7" s="16"/>
      <c r="J7" s="16"/>
      <c r="K7" s="17" t="n">
        <v>1</v>
      </c>
      <c r="L7" s="18" t="s">
        <v>94</v>
      </c>
    </row>
    <row r="8" customFormat="false" ht="15.75" hidden="false" customHeight="true" outlineLevel="0" collapsed="false">
      <c r="A8" s="16" t="s">
        <v>95</v>
      </c>
      <c r="B8" s="16"/>
      <c r="C8" s="16"/>
      <c r="D8" s="16"/>
      <c r="E8" s="16"/>
      <c r="F8" s="16"/>
      <c r="G8" s="16"/>
      <c r="H8" s="16"/>
      <c r="I8" s="16"/>
      <c r="J8" s="16"/>
      <c r="K8" s="17" t="n">
        <v>0</v>
      </c>
      <c r="L8" s="18" t="s">
        <v>96</v>
      </c>
    </row>
    <row r="9" customFormat="false" ht="15.75" hidden="false" customHeight="true" outlineLevel="0" collapsed="false">
      <c r="A9" s="16" t="s">
        <v>97</v>
      </c>
      <c r="B9" s="16"/>
      <c r="C9" s="16"/>
      <c r="D9" s="16"/>
      <c r="E9" s="16"/>
      <c r="F9" s="16"/>
      <c r="G9" s="16"/>
      <c r="H9" s="16"/>
      <c r="I9" s="16"/>
      <c r="J9" s="16"/>
      <c r="K9" s="17" t="n">
        <v>0</v>
      </c>
      <c r="L9" s="18" t="s">
        <v>98</v>
      </c>
    </row>
    <row r="10" customFormat="false" ht="15.75" hidden="false" customHeight="true" outlineLevel="0" collapsed="false">
      <c r="A10" s="16" t="s">
        <v>99</v>
      </c>
      <c r="B10" s="16"/>
      <c r="C10" s="16"/>
      <c r="D10" s="16"/>
      <c r="E10" s="16"/>
      <c r="F10" s="16"/>
      <c r="G10" s="16"/>
      <c r="H10" s="16"/>
      <c r="I10" s="16"/>
      <c r="J10" s="16"/>
      <c r="K10" s="17" t="n">
        <v>0</v>
      </c>
      <c r="L10" s="18" t="s">
        <v>100</v>
      </c>
    </row>
    <row r="11" customFormat="false" ht="15.75" hidden="false" customHeight="true" outlineLevel="0" collapsed="false">
      <c r="A11" s="16" t="s">
        <v>101</v>
      </c>
      <c r="B11" s="16"/>
      <c r="C11" s="16"/>
      <c r="D11" s="16"/>
      <c r="E11" s="16"/>
      <c r="F11" s="16"/>
      <c r="G11" s="16"/>
      <c r="H11" s="16"/>
      <c r="I11" s="16"/>
      <c r="J11" s="16"/>
      <c r="K11" s="17" t="n">
        <v>0</v>
      </c>
      <c r="L11" s="18" t="s">
        <v>102</v>
      </c>
    </row>
    <row r="12" customFormat="false" ht="15.75" hidden="false" customHeight="true" outlineLevel="0" collapsed="false">
      <c r="A12" s="16" t="s">
        <v>103</v>
      </c>
      <c r="B12" s="16"/>
      <c r="C12" s="16"/>
      <c r="D12" s="16"/>
      <c r="E12" s="16"/>
      <c r="F12" s="16"/>
      <c r="G12" s="16"/>
      <c r="H12" s="16"/>
      <c r="I12" s="16"/>
      <c r="J12" s="16"/>
      <c r="K12" s="17" t="n">
        <v>12</v>
      </c>
      <c r="L12" s="18" t="s">
        <v>104</v>
      </c>
    </row>
    <row r="14" customFormat="false" ht="6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customFormat="false" ht="18" hidden="false" customHeight="true" outlineLevel="0" collapsed="false">
      <c r="A15" s="14" t="s">
        <v>105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8" hidden="false" customHeight="true" outlineLevel="0" collapsed="false">
      <c r="A16" s="15" t="s">
        <v>106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customFormat="false" ht="16.5" hidden="false" customHeight="true" outlineLevel="0" collapsed="false">
      <c r="A17" s="19" t="s">
        <v>107</v>
      </c>
      <c r="B17" s="19"/>
      <c r="C17" s="19"/>
      <c r="D17" s="19"/>
      <c r="E17" s="19"/>
      <c r="F17" s="19"/>
      <c r="G17" s="19"/>
      <c r="H17" s="19"/>
      <c r="I17" s="19"/>
      <c r="J17" s="19"/>
      <c r="K17" s="20" t="s">
        <v>108</v>
      </c>
      <c r="L17" s="21" t="s">
        <v>109</v>
      </c>
    </row>
    <row r="18" customFormat="false" ht="12.75" hidden="false" customHeight="true" outlineLevel="0" collapsed="false">
      <c r="B18" s="22" t="s">
        <v>110</v>
      </c>
      <c r="C18" s="22" t="s">
        <v>111</v>
      </c>
      <c r="D18" s="22" t="s">
        <v>112</v>
      </c>
      <c r="E18" s="22" t="s">
        <v>113</v>
      </c>
      <c r="F18" s="22" t="s">
        <v>114</v>
      </c>
      <c r="G18" s="22" t="s">
        <v>115</v>
      </c>
      <c r="H18" s="22" t="s">
        <v>116</v>
      </c>
      <c r="I18" s="22" t="s">
        <v>117</v>
      </c>
      <c r="J18" s="22" t="s">
        <v>118</v>
      </c>
      <c r="K18" s="22" t="s">
        <v>119</v>
      </c>
      <c r="L18" s="22" t="s">
        <v>120</v>
      </c>
      <c r="M18" s="22" t="s">
        <v>121</v>
      </c>
      <c r="N18" s="22" t="s">
        <v>119</v>
      </c>
      <c r="O18" s="22" t="s">
        <v>122</v>
      </c>
      <c r="P18" s="22" t="s">
        <v>120</v>
      </c>
      <c r="Q18" s="22" t="s">
        <v>121</v>
      </c>
    </row>
    <row r="19" customFormat="false" ht="15" hidden="false" customHeight="true" outlineLevel="0" collapsed="false">
      <c r="A19" s="23" t="s">
        <v>123</v>
      </c>
      <c r="B19" s="6" t="n">
        <v>6667</v>
      </c>
      <c r="C19" s="6" t="n">
        <v>6667</v>
      </c>
      <c r="D19" s="6" t="n">
        <v>6667</v>
      </c>
      <c r="E19" s="6" t="n">
        <v>7708</v>
      </c>
      <c r="F19" s="6" t="n">
        <v>7708</v>
      </c>
      <c r="G19" s="6" t="n">
        <v>7708</v>
      </c>
      <c r="H19" s="6" t="n">
        <v>7708</v>
      </c>
      <c r="I19" s="6" t="n">
        <v>7708</v>
      </c>
      <c r="J19" s="6" t="n">
        <v>7708</v>
      </c>
      <c r="K19" s="24" t="n">
        <f aca="false">N19</f>
        <v>89373</v>
      </c>
      <c r="L19" s="6"/>
      <c r="M19" s="6"/>
      <c r="N19" s="24" t="n">
        <f aca="false">SUM(B19:J19)+SUM(O19:Q19)</f>
        <v>89373</v>
      </c>
      <c r="O19" s="6" t="n">
        <v>7708</v>
      </c>
      <c r="P19" s="6" t="n">
        <v>7708</v>
      </c>
      <c r="Q19" s="6" t="n">
        <v>7708</v>
      </c>
    </row>
    <row r="20" customFormat="false" ht="15" hidden="false" customHeight="true" outlineLevel="0" collapsed="false">
      <c r="A20" s="23" t="s">
        <v>124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24" t="n">
        <f aca="false">N20</f>
        <v>0</v>
      </c>
      <c r="L20" s="6"/>
      <c r="M20" s="6"/>
      <c r="N20" s="24" t="n">
        <f aca="false">SUM(B20:J20)+SUM(O20:Q20)</f>
        <v>0</v>
      </c>
      <c r="O20" s="6" t="n">
        <v>0</v>
      </c>
      <c r="P20" s="6" t="n">
        <v>0</v>
      </c>
      <c r="Q20" s="6" t="n">
        <v>0</v>
      </c>
    </row>
    <row r="21" customFormat="false" ht="15" hidden="false" customHeight="true" outlineLevel="0" collapsed="false">
      <c r="A21" s="23" t="s">
        <v>125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24" t="n">
        <f aca="false">N21</f>
        <v>0</v>
      </c>
      <c r="L21" s="6"/>
      <c r="M21" s="6"/>
      <c r="N21" s="24" t="n">
        <f aca="false">SUM(B21:J21)+SUM(O21:Q21)</f>
        <v>0</v>
      </c>
      <c r="O21" s="6" t="n">
        <v>0</v>
      </c>
      <c r="P21" s="6" t="n">
        <v>0</v>
      </c>
      <c r="Q21" s="6" t="n">
        <v>0</v>
      </c>
    </row>
    <row r="22" customFormat="false" ht="15" hidden="false" customHeight="true" outlineLevel="0" collapsed="false">
      <c r="A22" s="23" t="s">
        <v>126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24" t="n">
        <f aca="false">N22</f>
        <v>0</v>
      </c>
      <c r="L22" s="6"/>
      <c r="M22" s="6"/>
      <c r="N22" s="24" t="n">
        <f aca="false">SUM(B22:J22)+SUM(O22:Q22)</f>
        <v>0</v>
      </c>
      <c r="O22" s="6" t="n">
        <v>0</v>
      </c>
      <c r="P22" s="6" t="n">
        <v>0</v>
      </c>
      <c r="Q22" s="6" t="n">
        <v>0</v>
      </c>
    </row>
    <row r="23" customFormat="false" ht="15.75" hidden="false" customHeight="true" outlineLevel="0" collapsed="false">
      <c r="A23" s="16" t="s">
        <v>127</v>
      </c>
      <c r="B23" s="16"/>
      <c r="C23" s="16"/>
      <c r="D23" s="16"/>
      <c r="E23" s="16"/>
      <c r="F23" s="16"/>
      <c r="G23" s="16"/>
      <c r="H23" s="16"/>
      <c r="I23" s="16"/>
      <c r="J23" s="16"/>
      <c r="K23" s="25" t="n">
        <v>0</v>
      </c>
      <c r="L23" s="18" t="s">
        <v>128</v>
      </c>
    </row>
    <row r="24" customFormat="false" ht="19.5" hidden="false" customHeight="true" outlineLevel="0" collapsed="false">
      <c r="A24" s="26" t="s">
        <v>129</v>
      </c>
      <c r="B24" s="26"/>
      <c r="C24" s="26"/>
      <c r="D24" s="26"/>
      <c r="E24" s="26"/>
      <c r="F24" s="26"/>
      <c r="G24" s="26"/>
      <c r="H24" s="26"/>
      <c r="I24" s="26"/>
      <c r="J24" s="26"/>
      <c r="K24" s="27" t="n">
        <f aca="false">SUM(K19:K22)</f>
        <v>89373</v>
      </c>
      <c r="L24" s="28" t="s">
        <v>130</v>
      </c>
    </row>
    <row r="26" customFormat="false" ht="18" hidden="false" customHeight="true" outlineLevel="0" collapsed="false">
      <c r="A26" s="15" t="s">
        <v>131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5.75" hidden="false" customHeight="true" outlineLevel="0" collapsed="false">
      <c r="A27" s="16" t="s">
        <v>132</v>
      </c>
      <c r="B27" s="16"/>
      <c r="C27" s="16"/>
      <c r="D27" s="16"/>
      <c r="E27" s="16"/>
      <c r="F27" s="16"/>
      <c r="G27" s="16"/>
      <c r="H27" s="16"/>
      <c r="I27" s="16"/>
      <c r="J27" s="16"/>
      <c r="K27" s="25" t="n">
        <v>0</v>
      </c>
      <c r="L27" s="18" t="s">
        <v>133</v>
      </c>
    </row>
    <row r="28" customFormat="false" ht="15.75" hidden="false" customHeight="true" outlineLevel="0" collapsed="false">
      <c r="A28" s="16" t="s">
        <v>134</v>
      </c>
      <c r="B28" s="16"/>
      <c r="C28" s="16"/>
      <c r="D28" s="16"/>
      <c r="E28" s="16"/>
      <c r="F28" s="16"/>
      <c r="G28" s="16"/>
      <c r="H28" s="16"/>
      <c r="I28" s="16"/>
      <c r="J28" s="16"/>
      <c r="K28" s="25" t="n">
        <v>0</v>
      </c>
      <c r="L28" s="18" t="s">
        <v>135</v>
      </c>
    </row>
    <row r="29" customFormat="false" ht="15.75" hidden="false" customHeight="true" outlineLevel="0" collapsed="false">
      <c r="A29" s="29" t="s">
        <v>136</v>
      </c>
      <c r="B29" s="29"/>
      <c r="C29" s="29"/>
      <c r="D29" s="29"/>
      <c r="E29" s="29"/>
      <c r="F29" s="29"/>
      <c r="G29" s="29"/>
      <c r="H29" s="29"/>
      <c r="I29" s="29"/>
      <c r="J29" s="29"/>
      <c r="K29" s="30" t="n">
        <f aca="false">MAX(0,K27-K28)</f>
        <v>0</v>
      </c>
      <c r="L29" s="31" t="s">
        <v>137</v>
      </c>
    </row>
    <row r="31" customFormat="false" ht="18" hidden="false" customHeight="true" outlineLevel="0" collapsed="false">
      <c r="A31" s="15" t="s">
        <v>138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15.75" hidden="false" customHeight="true" outlineLevel="0" collapsed="false">
      <c r="A32" s="16" t="s">
        <v>139</v>
      </c>
      <c r="B32" s="16"/>
      <c r="C32" s="16"/>
      <c r="D32" s="16"/>
      <c r="E32" s="16"/>
      <c r="F32" s="16"/>
      <c r="G32" s="16"/>
      <c r="H32" s="16"/>
      <c r="I32" s="16"/>
      <c r="J32" s="16"/>
      <c r="K32" s="25" t="n">
        <v>0</v>
      </c>
      <c r="L32" s="18" t="s">
        <v>140</v>
      </c>
    </row>
    <row r="33" customFormat="false" ht="15.75" hidden="false" customHeight="true" outlineLevel="0" collapsed="false">
      <c r="A33" s="16" t="s">
        <v>141</v>
      </c>
      <c r="B33" s="16"/>
      <c r="C33" s="16"/>
      <c r="D33" s="16"/>
      <c r="E33" s="16"/>
      <c r="F33" s="16"/>
      <c r="G33" s="16"/>
      <c r="H33" s="16"/>
      <c r="I33" s="16"/>
      <c r="J33" s="16"/>
      <c r="K33" s="25" t="n">
        <v>0</v>
      </c>
      <c r="L33" s="18" t="s">
        <v>142</v>
      </c>
    </row>
    <row r="35" customFormat="false" ht="18" hidden="false" customHeight="true" outlineLevel="0" collapsed="false">
      <c r="A35" s="15" t="s">
        <v>143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5.75" hidden="false" customHeight="true" outlineLevel="0" collapsed="false">
      <c r="A36" s="16" t="s">
        <v>144</v>
      </c>
      <c r="B36" s="16"/>
      <c r="C36" s="16"/>
      <c r="D36" s="16"/>
      <c r="E36" s="16"/>
      <c r="F36" s="16"/>
      <c r="G36" s="16"/>
      <c r="H36" s="16"/>
      <c r="I36" s="16"/>
      <c r="J36" s="16"/>
      <c r="K36" s="25" t="n">
        <v>0</v>
      </c>
      <c r="L36" s="18" t="s">
        <v>145</v>
      </c>
    </row>
    <row r="37" customFormat="false" ht="15.75" hidden="false" customHeight="true" outlineLevel="0" collapsed="false">
      <c r="A37" s="16" t="s">
        <v>146</v>
      </c>
      <c r="B37" s="16"/>
      <c r="C37" s="16"/>
      <c r="D37" s="16"/>
      <c r="E37" s="16"/>
      <c r="F37" s="16"/>
      <c r="G37" s="16"/>
      <c r="H37" s="16"/>
      <c r="I37" s="16"/>
      <c r="J37" s="16"/>
      <c r="K37" s="25" t="n">
        <v>0</v>
      </c>
      <c r="L37" s="18" t="s">
        <v>147</v>
      </c>
    </row>
    <row r="38" customFormat="false" ht="15.75" hidden="false" customHeight="true" outlineLevel="0" collapsed="false">
      <c r="A38" s="16" t="s">
        <v>148</v>
      </c>
      <c r="B38" s="16"/>
      <c r="C38" s="16"/>
      <c r="D38" s="16"/>
      <c r="E38" s="16"/>
      <c r="F38" s="16"/>
      <c r="G38" s="16"/>
      <c r="H38" s="16"/>
      <c r="I38" s="16"/>
      <c r="J38" s="16"/>
      <c r="K38" s="25" t="n">
        <v>0</v>
      </c>
      <c r="L38" s="18" t="s">
        <v>149</v>
      </c>
    </row>
    <row r="39" customFormat="false" ht="15.75" hidden="false" customHeight="true" outlineLevel="0" collapsed="false">
      <c r="A39" s="16" t="s">
        <v>150</v>
      </c>
      <c r="B39" s="16"/>
      <c r="C39" s="16"/>
      <c r="D39" s="16"/>
      <c r="E39" s="16"/>
      <c r="F39" s="16"/>
      <c r="G39" s="16"/>
      <c r="H39" s="16"/>
      <c r="I39" s="16"/>
      <c r="J39" s="16"/>
      <c r="K39" s="25" t="n">
        <v>0</v>
      </c>
      <c r="L39" s="18" t="s">
        <v>151</v>
      </c>
    </row>
    <row r="40" customFormat="false" ht="15.75" hidden="false" customHeight="true" outlineLevel="0" collapsed="false">
      <c r="A40" s="16" t="s">
        <v>152</v>
      </c>
      <c r="B40" s="16"/>
      <c r="C40" s="16"/>
      <c r="D40" s="16"/>
      <c r="E40" s="16"/>
      <c r="F40" s="16"/>
      <c r="G40" s="16"/>
      <c r="H40" s="16"/>
      <c r="I40" s="16"/>
      <c r="J40" s="16"/>
      <c r="K40" s="25" t="n">
        <v>0</v>
      </c>
      <c r="L40" s="18" t="s">
        <v>153</v>
      </c>
    </row>
    <row r="41" customFormat="false" ht="15.75" hidden="false" customHeight="true" outlineLevel="0" collapsed="false">
      <c r="A41" s="16" t="s">
        <v>154</v>
      </c>
      <c r="B41" s="16"/>
      <c r="C41" s="16"/>
      <c r="D41" s="16"/>
      <c r="E41" s="16"/>
      <c r="F41" s="16"/>
      <c r="G41" s="16"/>
      <c r="H41" s="16"/>
      <c r="I41" s="16"/>
      <c r="J41" s="16"/>
      <c r="K41" s="25" t="n">
        <v>0</v>
      </c>
      <c r="L41" s="18" t="s">
        <v>155</v>
      </c>
    </row>
    <row r="42" customFormat="false" ht="15.75" hidden="false" customHeight="true" outlineLevel="0" collapsed="false">
      <c r="A42" s="29" t="s">
        <v>156</v>
      </c>
      <c r="B42" s="29"/>
      <c r="C42" s="29"/>
      <c r="D42" s="29"/>
      <c r="E42" s="29"/>
      <c r="F42" s="29"/>
      <c r="G42" s="29"/>
      <c r="H42" s="29"/>
      <c r="I42" s="29"/>
      <c r="J42" s="29"/>
      <c r="K42" s="30" t="n">
        <f aca="false">MAX(-999999,K36-K37-K38-K39-K40-K41)</f>
        <v>0</v>
      </c>
      <c r="L42" s="31" t="s">
        <v>157</v>
      </c>
    </row>
    <row r="44" customFormat="false" ht="18" hidden="false" customHeight="true" outlineLevel="0" collapsed="false">
      <c r="A44" s="15" t="s">
        <v>158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15.75" hidden="false" customHeight="true" outlineLevel="0" collapsed="false">
      <c r="A45" s="16" t="s">
        <v>159</v>
      </c>
      <c r="B45" s="16"/>
      <c r="C45" s="16"/>
      <c r="D45" s="16"/>
      <c r="E45" s="16"/>
      <c r="F45" s="16"/>
      <c r="G45" s="16"/>
      <c r="H45" s="16"/>
      <c r="I45" s="16"/>
      <c r="J45" s="16"/>
      <c r="K45" s="25" t="n">
        <v>0</v>
      </c>
      <c r="L45" s="18" t="s">
        <v>160</v>
      </c>
    </row>
    <row r="46" customFormat="false" ht="15.75" hidden="false" customHeight="true" outlineLevel="0" collapsed="false">
      <c r="A46" s="16" t="s">
        <v>161</v>
      </c>
      <c r="B46" s="16"/>
      <c r="C46" s="16"/>
      <c r="D46" s="16"/>
      <c r="E46" s="16"/>
      <c r="F46" s="16"/>
      <c r="G46" s="16"/>
      <c r="H46" s="16"/>
      <c r="I46" s="16"/>
      <c r="J46" s="16"/>
      <c r="K46" s="25" t="n">
        <v>0</v>
      </c>
      <c r="L46" s="18" t="s">
        <v>162</v>
      </c>
    </row>
    <row r="47" customFormat="false" ht="15.75" hidden="false" customHeight="true" outlineLevel="0" collapsed="false">
      <c r="A47" s="16" t="s">
        <v>163</v>
      </c>
      <c r="B47" s="16"/>
      <c r="C47" s="16"/>
      <c r="D47" s="16"/>
      <c r="E47" s="16"/>
      <c r="F47" s="16"/>
      <c r="G47" s="16"/>
      <c r="H47" s="16"/>
      <c r="I47" s="16"/>
      <c r="J47" s="16"/>
      <c r="K47" s="25" t="n">
        <v>200</v>
      </c>
      <c r="L47" s="18" t="s">
        <v>164</v>
      </c>
    </row>
    <row r="48" customFormat="false" ht="15.75" hidden="false" customHeight="true" outlineLevel="0" collapsed="false">
      <c r="A48" s="16" t="s">
        <v>165</v>
      </c>
      <c r="B48" s="16"/>
      <c r="C48" s="16"/>
      <c r="D48" s="16"/>
      <c r="E48" s="16"/>
      <c r="F48" s="16"/>
      <c r="G48" s="16"/>
      <c r="H48" s="16"/>
      <c r="I48" s="16"/>
      <c r="J48" s="16"/>
      <c r="K48" s="25" t="n">
        <v>0</v>
      </c>
      <c r="L48" s="18" t="s">
        <v>166</v>
      </c>
    </row>
    <row r="49" customFormat="false" ht="15.75" hidden="false" customHeight="true" outlineLevel="0" collapsed="false">
      <c r="A49" s="16" t="s">
        <v>167</v>
      </c>
      <c r="B49" s="16"/>
      <c r="C49" s="16"/>
      <c r="D49" s="16"/>
      <c r="E49" s="16"/>
      <c r="F49" s="16"/>
      <c r="G49" s="16"/>
      <c r="H49" s="16"/>
      <c r="I49" s="16"/>
      <c r="J49" s="16"/>
      <c r="K49" s="25" t="n">
        <v>0</v>
      </c>
      <c r="L49" s="18" t="s">
        <v>168</v>
      </c>
    </row>
    <row r="50" customFormat="false" ht="15.75" hidden="false" customHeight="true" outlineLevel="0" collapsed="false">
      <c r="A50" s="16" t="s">
        <v>169</v>
      </c>
      <c r="B50" s="16"/>
      <c r="C50" s="16"/>
      <c r="D50" s="16"/>
      <c r="E50" s="16"/>
      <c r="F50" s="16"/>
      <c r="G50" s="16"/>
      <c r="H50" s="16"/>
      <c r="I50" s="16"/>
      <c r="J50" s="16"/>
      <c r="K50" s="25" t="n">
        <v>0</v>
      </c>
      <c r="L50" s="18" t="s">
        <v>170</v>
      </c>
    </row>
    <row r="51" customFormat="false" ht="15.75" hidden="false" customHeight="true" outlineLevel="0" collapsed="false">
      <c r="A51" s="16" t="s">
        <v>171</v>
      </c>
      <c r="B51" s="16"/>
      <c r="C51" s="16"/>
      <c r="D51" s="16"/>
      <c r="E51" s="16"/>
      <c r="F51" s="16"/>
      <c r="G51" s="16"/>
      <c r="H51" s="16"/>
      <c r="I51" s="16"/>
      <c r="J51" s="16"/>
      <c r="K51" s="25" t="n">
        <v>0</v>
      </c>
      <c r="L51" s="18" t="s">
        <v>172</v>
      </c>
    </row>
    <row r="52" customFormat="false" ht="15.75" hidden="false" customHeight="true" outlineLevel="0" collapsed="false">
      <c r="A52" s="29" t="s">
        <v>173</v>
      </c>
      <c r="B52" s="29"/>
      <c r="C52" s="29"/>
      <c r="D52" s="29"/>
      <c r="E52" s="29"/>
      <c r="F52" s="29"/>
      <c r="G52" s="29"/>
      <c r="H52" s="29"/>
      <c r="I52" s="29"/>
      <c r="J52" s="29"/>
      <c r="K52" s="30" t="n">
        <f aca="false">MAX(0,K45+K46+K47+K48+K49-K50)</f>
        <v>200</v>
      </c>
      <c r="L52" s="31" t="s">
        <v>174</v>
      </c>
    </row>
    <row r="53" customFormat="false" ht="15.75" hidden="false" customHeight="true" outlineLevel="0" collapsed="false">
      <c r="A53" s="29" t="s">
        <v>175</v>
      </c>
      <c r="B53" s="29"/>
      <c r="C53" s="29"/>
      <c r="D53" s="29"/>
      <c r="E53" s="29"/>
      <c r="F53" s="29"/>
      <c r="G53" s="29"/>
      <c r="H53" s="29"/>
      <c r="I53" s="29"/>
      <c r="J53" s="29"/>
      <c r="K53" s="30" t="n">
        <f aca="false">MIN(K52,Rates!C56)</f>
        <v>0.02</v>
      </c>
      <c r="L53" s="31" t="s">
        <v>176</v>
      </c>
    </row>
    <row r="54" customFormat="false" ht="15.75" hidden="false" customHeight="true" outlineLevel="0" collapsed="false">
      <c r="A54" s="29" t="s">
        <v>177</v>
      </c>
      <c r="B54" s="29"/>
      <c r="C54" s="29"/>
      <c r="D54" s="29"/>
      <c r="E54" s="29"/>
      <c r="F54" s="29"/>
      <c r="G54" s="29"/>
      <c r="H54" s="29"/>
      <c r="I54" s="29"/>
      <c r="J54" s="29"/>
      <c r="K54" s="30" t="n">
        <f aca="false">MAX(0,K52-K53)</f>
        <v>199.98</v>
      </c>
      <c r="L54" s="31" t="s">
        <v>178</v>
      </c>
    </row>
    <row r="55" customFormat="false" ht="15.75" hidden="false" customHeight="true" outlineLevel="0" collapsed="false">
      <c r="A55" s="29" t="s">
        <v>179</v>
      </c>
      <c r="B55" s="29"/>
      <c r="C55" s="29"/>
      <c r="D55" s="29"/>
      <c r="E55" s="29"/>
      <c r="F55" s="29"/>
      <c r="G55" s="29"/>
      <c r="H55" s="29"/>
      <c r="I55" s="29"/>
      <c r="J55" s="29"/>
      <c r="K55" s="32" t="n">
        <f aca="false">ROUND(K54*Rates!C114,2)</f>
        <v>0</v>
      </c>
      <c r="L55" s="31" t="s">
        <v>180</v>
      </c>
    </row>
    <row r="56" customFormat="false" ht="15.75" hidden="false" customHeight="true" outlineLevel="0" collapsed="false">
      <c r="A56" s="29" t="s">
        <v>181</v>
      </c>
      <c r="B56" s="29"/>
      <c r="C56" s="29"/>
      <c r="D56" s="29"/>
      <c r="E56" s="29"/>
      <c r="F56" s="29"/>
      <c r="G56" s="29"/>
      <c r="H56" s="29"/>
      <c r="I56" s="29"/>
      <c r="J56" s="29"/>
      <c r="K56" s="32" t="n">
        <f aca="false">ROUND(K55*Rates!C115,2)</f>
        <v>0</v>
      </c>
      <c r="L56" s="31" t="s">
        <v>182</v>
      </c>
    </row>
    <row r="57" customFormat="false" ht="15.75" hidden="false" customHeight="true" outlineLevel="0" collapsed="false">
      <c r="A57" s="29" t="s">
        <v>183</v>
      </c>
      <c r="B57" s="29"/>
      <c r="C57" s="29"/>
      <c r="D57" s="29"/>
      <c r="E57" s="29"/>
      <c r="F57" s="29"/>
      <c r="G57" s="29"/>
      <c r="H57" s="29"/>
      <c r="I57" s="29"/>
      <c r="J57" s="29"/>
      <c r="K57" s="32" t="n">
        <f aca="false">IF(K8=1,ROUND(K55*Rates!C11,2),0)</f>
        <v>0</v>
      </c>
      <c r="L57" s="31" t="s">
        <v>184</v>
      </c>
    </row>
    <row r="58" customFormat="false" ht="15.75" hidden="false" customHeight="true" outlineLevel="0" collapsed="false">
      <c r="A58" s="29" t="s">
        <v>185</v>
      </c>
      <c r="B58" s="29"/>
      <c r="C58" s="29"/>
      <c r="D58" s="29"/>
      <c r="E58" s="29"/>
      <c r="F58" s="29"/>
      <c r="G58" s="29"/>
      <c r="H58" s="29"/>
      <c r="I58" s="29"/>
      <c r="J58" s="29"/>
      <c r="K58" s="32" t="n">
        <f aca="false">MIN(K55,K51)</f>
        <v>0</v>
      </c>
      <c r="L58" s="31" t="s">
        <v>186</v>
      </c>
    </row>
    <row r="59" customFormat="false" ht="19.5" hidden="false" customHeight="true" outlineLevel="0" collapsed="false">
      <c r="A59" s="33" t="s">
        <v>187</v>
      </c>
      <c r="B59" s="33"/>
      <c r="C59" s="33"/>
      <c r="D59" s="33"/>
      <c r="E59" s="33"/>
      <c r="F59" s="33"/>
      <c r="G59" s="33"/>
      <c r="H59" s="33"/>
      <c r="I59" s="33"/>
      <c r="J59" s="33"/>
      <c r="K59" s="34" t="n">
        <f aca="false">ROUND(K55+K56+K57-K58,2)</f>
        <v>0</v>
      </c>
      <c r="L59" s="35" t="s">
        <v>188</v>
      </c>
    </row>
    <row r="60" customFormat="false" ht="15.75" hidden="false" customHeight="true" outlineLevel="0" collapsed="false">
      <c r="A60" s="16" t="s">
        <v>189</v>
      </c>
      <c r="B60" s="16"/>
      <c r="C60" s="16"/>
      <c r="D60" s="16"/>
      <c r="E60" s="16"/>
      <c r="F60" s="16"/>
      <c r="G60" s="16"/>
      <c r="H60" s="16"/>
      <c r="I60" s="16"/>
      <c r="J60" s="16"/>
      <c r="K60" s="17" t="n">
        <v>0</v>
      </c>
      <c r="L60" s="18" t="s">
        <v>190</v>
      </c>
    </row>
    <row r="62" customFormat="false" ht="18" hidden="false" customHeight="true" outlineLevel="0" collapsed="false">
      <c r="A62" s="15" t="s">
        <v>191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customFormat="false" ht="15.75" hidden="false" customHeight="true" outlineLevel="0" collapsed="false">
      <c r="A63" s="16" t="s">
        <v>192</v>
      </c>
      <c r="B63" s="16"/>
      <c r="C63" s="16"/>
      <c r="D63" s="16"/>
      <c r="E63" s="16"/>
      <c r="F63" s="16"/>
      <c r="G63" s="16"/>
      <c r="H63" s="16"/>
      <c r="I63" s="16"/>
      <c r="J63" s="16"/>
      <c r="K63" s="25" t="n">
        <v>0</v>
      </c>
      <c r="L63" s="18" t="s">
        <v>193</v>
      </c>
    </row>
    <row r="64" customFormat="false" ht="15.75" hidden="false" customHeight="true" outlineLevel="0" collapsed="false">
      <c r="A64" s="16" t="s">
        <v>194</v>
      </c>
      <c r="B64" s="16"/>
      <c r="C64" s="16"/>
      <c r="D64" s="16"/>
      <c r="E64" s="16"/>
      <c r="F64" s="16"/>
      <c r="G64" s="16"/>
      <c r="H64" s="16"/>
      <c r="I64" s="16"/>
      <c r="J64" s="16"/>
      <c r="K64" s="25" t="n">
        <v>0</v>
      </c>
      <c r="L64" s="18" t="s">
        <v>195</v>
      </c>
    </row>
    <row r="65" customFormat="false" ht="15.75" hidden="false" customHeight="true" outlineLevel="0" collapsed="false">
      <c r="A65" s="16" t="s">
        <v>196</v>
      </c>
      <c r="B65" s="16"/>
      <c r="C65" s="16"/>
      <c r="D65" s="16"/>
      <c r="E65" s="16"/>
      <c r="F65" s="16"/>
      <c r="G65" s="16"/>
      <c r="H65" s="16"/>
      <c r="I65" s="16"/>
      <c r="J65" s="16"/>
      <c r="K65" s="25" t="n">
        <v>0</v>
      </c>
      <c r="L65" s="18" t="s">
        <v>197</v>
      </c>
    </row>
    <row r="66" customFormat="false" ht="15.75" hidden="false" customHeight="true" outlineLevel="0" collapsed="false">
      <c r="A66" s="16" t="s">
        <v>198</v>
      </c>
      <c r="B66" s="16"/>
      <c r="C66" s="16"/>
      <c r="D66" s="16"/>
      <c r="E66" s="16"/>
      <c r="F66" s="16"/>
      <c r="G66" s="16"/>
      <c r="H66" s="16"/>
      <c r="I66" s="16"/>
      <c r="J66" s="16"/>
      <c r="K66" s="25" t="n">
        <v>0</v>
      </c>
      <c r="L66" s="18" t="s">
        <v>199</v>
      </c>
    </row>
    <row r="67" customFormat="false" ht="15.75" hidden="false" customHeight="true" outlineLevel="0" collapsed="false">
      <c r="A67" s="16" t="s">
        <v>200</v>
      </c>
      <c r="B67" s="16"/>
      <c r="C67" s="16"/>
      <c r="D67" s="16"/>
      <c r="E67" s="16"/>
      <c r="F67" s="16"/>
      <c r="G67" s="16"/>
      <c r="H67" s="16"/>
      <c r="I67" s="16"/>
      <c r="J67" s="16"/>
      <c r="K67" s="25" t="n">
        <v>0</v>
      </c>
      <c r="L67" s="18" t="s">
        <v>201</v>
      </c>
    </row>
    <row r="68" customFormat="false" ht="15.75" hidden="false" customHeight="true" outlineLevel="0" collapsed="false">
      <c r="A68" s="16" t="s">
        <v>202</v>
      </c>
      <c r="B68" s="16"/>
      <c r="C68" s="16"/>
      <c r="D68" s="16"/>
      <c r="E68" s="16"/>
      <c r="F68" s="16"/>
      <c r="G68" s="16"/>
      <c r="H68" s="16"/>
      <c r="I68" s="16"/>
      <c r="J68" s="16"/>
      <c r="K68" s="25" t="n">
        <v>0</v>
      </c>
      <c r="L68" s="18" t="s">
        <v>203</v>
      </c>
    </row>
    <row r="69" customFormat="false" ht="15.75" hidden="false" customHeight="true" outlineLevel="0" collapsed="false">
      <c r="A69" s="29" t="s">
        <v>204</v>
      </c>
      <c r="B69" s="29"/>
      <c r="C69" s="29"/>
      <c r="D69" s="29"/>
      <c r="E69" s="29"/>
      <c r="F69" s="29"/>
      <c r="G69" s="29"/>
      <c r="H69" s="29"/>
      <c r="I69" s="29"/>
      <c r="J69" s="29"/>
      <c r="K69" s="30" t="n">
        <f aca="false">K63+K64+K65+K66+K67+K68</f>
        <v>0</v>
      </c>
      <c r="L69" s="31"/>
    </row>
    <row r="71" customFormat="false" ht="19.5" hidden="false" customHeight="true" outlineLevel="0" collapsed="false">
      <c r="A71" s="26" t="s">
        <v>205</v>
      </c>
      <c r="B71" s="26"/>
      <c r="C71" s="26"/>
      <c r="D71" s="26"/>
      <c r="E71" s="26"/>
      <c r="F71" s="26"/>
      <c r="G71" s="26"/>
      <c r="H71" s="26"/>
      <c r="I71" s="26"/>
      <c r="J71" s="26"/>
      <c r="K71" s="27" t="n">
        <f aca="false">K24+K29+K32+K42+IF(K60=1,K52,0)+K69</f>
        <v>89373</v>
      </c>
      <c r="L71" s="28" t="s">
        <v>206</v>
      </c>
    </row>
    <row r="73" customFormat="false" ht="6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customFormat="false" ht="18" hidden="false" customHeight="true" outlineLevel="0" collapsed="false">
      <c r="A74" s="14" t="s">
        <v>207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customFormat="false" ht="18" hidden="false" customHeight="true" outlineLevel="0" collapsed="false">
      <c r="A75" s="15" t="s">
        <v>208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customFormat="false" ht="15.75" hidden="false" customHeight="true" outlineLevel="0" collapsed="false">
      <c r="A76" s="16" t="s">
        <v>209</v>
      </c>
      <c r="B76" s="16"/>
      <c r="C76" s="16"/>
      <c r="D76" s="16"/>
      <c r="E76" s="16"/>
      <c r="F76" s="16"/>
      <c r="G76" s="16"/>
      <c r="H76" s="16"/>
      <c r="I76" s="16"/>
      <c r="J76" s="16"/>
      <c r="K76" s="17" t="n">
        <v>8</v>
      </c>
      <c r="L76" s="18" t="s">
        <v>210</v>
      </c>
    </row>
    <row r="77" customFormat="false" ht="15.75" hidden="false" customHeight="true" outlineLevel="0" collapsed="false">
      <c r="A77" s="16" t="s">
        <v>211</v>
      </c>
      <c r="B77" s="16"/>
      <c r="C77" s="16"/>
      <c r="D77" s="16"/>
      <c r="E77" s="16"/>
      <c r="F77" s="16"/>
      <c r="G77" s="16"/>
      <c r="H77" s="16"/>
      <c r="I77" s="16"/>
      <c r="J77" s="16"/>
      <c r="K77" s="17" t="n">
        <v>241</v>
      </c>
      <c r="L77" s="18" t="s">
        <v>212</v>
      </c>
    </row>
    <row r="78" customFormat="false" ht="15.75" hidden="false" customHeight="true" outlineLevel="0" collapsed="false">
      <c r="A78" s="16" t="s">
        <v>213</v>
      </c>
      <c r="B78" s="16"/>
      <c r="C78" s="16"/>
      <c r="D78" s="16"/>
      <c r="E78" s="16"/>
      <c r="F78" s="16"/>
      <c r="G78" s="16"/>
      <c r="H78" s="16"/>
      <c r="I78" s="16"/>
      <c r="J78" s="16"/>
      <c r="K78" s="25" t="n">
        <v>756</v>
      </c>
      <c r="L78" s="18" t="s">
        <v>214</v>
      </c>
    </row>
    <row r="79" customFormat="false" ht="15.75" hidden="false" customHeight="true" outlineLevel="0" collapsed="false">
      <c r="A79" s="29" t="s">
        <v>215</v>
      </c>
      <c r="B79" s="29"/>
      <c r="C79" s="29"/>
      <c r="D79" s="29"/>
      <c r="E79" s="29"/>
      <c r="F79" s="29"/>
      <c r="G79" s="29"/>
      <c r="H79" s="29"/>
      <c r="I79" s="29"/>
      <c r="J79" s="29"/>
      <c r="K79" s="30" t="n">
        <f aca="false">K77*K76*Rates!C113</f>
        <v>0</v>
      </c>
      <c r="L79" s="31" t="s">
        <v>424</v>
      </c>
    </row>
    <row r="80" customFormat="false" ht="15.75" hidden="false" customHeight="true" outlineLevel="0" collapsed="false">
      <c r="A80" s="29" t="s">
        <v>217</v>
      </c>
      <c r="B80" s="29"/>
      <c r="C80" s="29"/>
      <c r="D80" s="29"/>
      <c r="E80" s="29"/>
      <c r="F80" s="29"/>
      <c r="G80" s="29"/>
      <c r="H80" s="29"/>
      <c r="I80" s="29"/>
      <c r="J80" s="29"/>
      <c r="K80" s="30" t="n">
        <f aca="false">MAX(K79,K78)</f>
        <v>756</v>
      </c>
      <c r="L80" s="31" t="s">
        <v>218</v>
      </c>
    </row>
    <row r="82" customFormat="false" ht="18" hidden="false" customHeight="true" outlineLevel="0" collapsed="false">
      <c r="A82" s="15" t="s">
        <v>219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customFormat="false" ht="15.75" hidden="false" customHeight="true" outlineLevel="0" collapsed="false">
      <c r="A83" s="16" t="s">
        <v>220</v>
      </c>
      <c r="B83" s="16"/>
      <c r="C83" s="16"/>
      <c r="D83" s="16"/>
      <c r="E83" s="16"/>
      <c r="F83" s="16"/>
      <c r="G83" s="16"/>
      <c r="H83" s="16"/>
      <c r="I83" s="16"/>
      <c r="J83" s="16"/>
      <c r="K83" s="17" t="n">
        <v>124</v>
      </c>
      <c r="L83" s="18" t="s">
        <v>221</v>
      </c>
    </row>
    <row r="84" customFormat="false" ht="15.75" hidden="false" customHeight="true" outlineLevel="0" collapsed="false">
      <c r="A84" s="29" t="s">
        <v>222</v>
      </c>
      <c r="B84" s="29"/>
      <c r="C84" s="29"/>
      <c r="D84" s="29"/>
      <c r="E84" s="29"/>
      <c r="F84" s="29"/>
      <c r="G84" s="29"/>
      <c r="H84" s="29"/>
      <c r="I84" s="29"/>
      <c r="J84" s="29"/>
      <c r="K84" s="30" t="n">
        <f aca="false">MIN(K83,210)*Rates!C110</f>
        <v>0</v>
      </c>
      <c r="L84" s="31" t="s">
        <v>223</v>
      </c>
    </row>
    <row r="85" customFormat="false" ht="15.75" hidden="false" customHeight="true" outlineLevel="0" collapsed="false">
      <c r="A85" s="16" t="s">
        <v>224</v>
      </c>
      <c r="B85" s="16"/>
      <c r="C85" s="16"/>
      <c r="D85" s="16"/>
      <c r="E85" s="16"/>
      <c r="F85" s="16"/>
      <c r="G85" s="16"/>
      <c r="H85" s="16"/>
      <c r="I85" s="16"/>
      <c r="J85" s="16"/>
      <c r="K85" s="25" t="n">
        <v>0</v>
      </c>
      <c r="L85" s="18" t="s">
        <v>225</v>
      </c>
    </row>
    <row r="86" customFormat="false" ht="15.75" hidden="false" customHeight="true" outlineLevel="0" collapsed="false">
      <c r="A86" s="29" t="s">
        <v>226</v>
      </c>
      <c r="B86" s="29"/>
      <c r="C86" s="29"/>
      <c r="D86" s="29"/>
      <c r="E86" s="29"/>
      <c r="F86" s="29"/>
      <c r="G86" s="29"/>
      <c r="H86" s="29"/>
      <c r="I86" s="29"/>
      <c r="J86" s="29"/>
      <c r="K86" s="30" t="n">
        <f aca="false">MAX(K84,K85)</f>
        <v>0</v>
      </c>
      <c r="L86" s="31" t="s">
        <v>227</v>
      </c>
    </row>
    <row r="88" customFormat="false" ht="18" hidden="false" customHeight="true" outlineLevel="0" collapsed="false">
      <c r="A88" s="15" t="s">
        <v>228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customFormat="false" ht="15.75" hidden="false" customHeight="true" outlineLevel="0" collapsed="false">
      <c r="A89" s="16" t="s">
        <v>229</v>
      </c>
      <c r="B89" s="16"/>
      <c r="C89" s="16"/>
      <c r="D89" s="16"/>
      <c r="E89" s="16"/>
      <c r="F89" s="16"/>
      <c r="G89" s="16"/>
      <c r="H89" s="16"/>
      <c r="I89" s="16"/>
      <c r="J89" s="16"/>
      <c r="K89" s="25" t="n">
        <v>400</v>
      </c>
      <c r="L89" s="18" t="s">
        <v>230</v>
      </c>
    </row>
    <row r="90" customFormat="false" ht="15.75" hidden="false" customHeight="true" outlineLevel="0" collapsed="false">
      <c r="A90" s="16" t="s">
        <v>231</v>
      </c>
      <c r="B90" s="16"/>
      <c r="C90" s="16"/>
      <c r="D90" s="16"/>
      <c r="E90" s="16"/>
      <c r="F90" s="16"/>
      <c r="G90" s="16"/>
      <c r="H90" s="16"/>
      <c r="I90" s="16"/>
      <c r="J90" s="16"/>
      <c r="K90" s="25" t="n">
        <v>0</v>
      </c>
      <c r="L90" s="18" t="s">
        <v>232</v>
      </c>
    </row>
    <row r="91" customFormat="false" ht="15.75" hidden="false" customHeight="true" outlineLevel="0" collapsed="false">
      <c r="A91" s="16" t="s">
        <v>233</v>
      </c>
      <c r="B91" s="16"/>
      <c r="C91" s="16"/>
      <c r="D91" s="16"/>
      <c r="E91" s="16"/>
      <c r="F91" s="16"/>
      <c r="G91" s="16"/>
      <c r="H91" s="16"/>
      <c r="I91" s="16"/>
      <c r="J91" s="16"/>
      <c r="K91" s="25" t="n">
        <v>60</v>
      </c>
      <c r="L91" s="18" t="s">
        <v>234</v>
      </c>
    </row>
    <row r="92" customFormat="false" ht="15.75" hidden="false" customHeight="true" outlineLevel="0" collapsed="false">
      <c r="A92" s="16" t="s">
        <v>235</v>
      </c>
      <c r="B92" s="16"/>
      <c r="C92" s="16"/>
      <c r="D92" s="16"/>
      <c r="E92" s="16"/>
      <c r="F92" s="16"/>
      <c r="G92" s="16"/>
      <c r="H92" s="16"/>
      <c r="I92" s="16"/>
      <c r="J92" s="16"/>
      <c r="K92" s="25" t="n">
        <v>0</v>
      </c>
      <c r="L92" s="18" t="s">
        <v>236</v>
      </c>
    </row>
    <row r="93" customFormat="false" ht="15.75" hidden="false" customHeight="true" outlineLevel="0" collapsed="false">
      <c r="A93" s="16" t="s">
        <v>237</v>
      </c>
      <c r="B93" s="16"/>
      <c r="C93" s="16"/>
      <c r="D93" s="16"/>
      <c r="E93" s="16"/>
      <c r="F93" s="16"/>
      <c r="G93" s="16"/>
      <c r="H93" s="16"/>
      <c r="I93" s="16"/>
      <c r="J93" s="16"/>
      <c r="K93" s="25" t="n">
        <v>0</v>
      </c>
      <c r="L93" s="18" t="s">
        <v>238</v>
      </c>
    </row>
    <row r="94" customFormat="false" ht="15.75" hidden="false" customHeight="true" outlineLevel="0" collapsed="false">
      <c r="A94" s="16" t="s">
        <v>239</v>
      </c>
      <c r="B94" s="16"/>
      <c r="C94" s="16"/>
      <c r="D94" s="16"/>
      <c r="E94" s="16"/>
      <c r="F94" s="16"/>
      <c r="G94" s="16"/>
      <c r="H94" s="16"/>
      <c r="I94" s="16"/>
      <c r="J94" s="16"/>
      <c r="K94" s="25" t="n">
        <v>0</v>
      </c>
      <c r="L94" s="18" t="s">
        <v>240</v>
      </c>
    </row>
    <row r="95" customFormat="false" ht="15.75" hidden="false" customHeight="true" outlineLevel="0" collapsed="false">
      <c r="A95" s="29" t="s">
        <v>241</v>
      </c>
      <c r="B95" s="29"/>
      <c r="C95" s="29"/>
      <c r="D95" s="29"/>
      <c r="E95" s="29"/>
      <c r="F95" s="29"/>
      <c r="G95" s="29"/>
      <c r="H95" s="29"/>
      <c r="I95" s="29"/>
      <c r="J95" s="29"/>
      <c r="K95" s="30" t="n">
        <f aca="false">K89+K90+K91+K92+K93+K94</f>
        <v>460</v>
      </c>
      <c r="L95" s="31"/>
    </row>
    <row r="97" customFormat="false" ht="18" hidden="false" customHeight="true" outlineLevel="0" collapsed="false">
      <c r="A97" s="15" t="s">
        <v>242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customFormat="false" ht="15.75" hidden="false" customHeight="true" outlineLevel="0" collapsed="false">
      <c r="A98" s="16" t="s">
        <v>243</v>
      </c>
      <c r="B98" s="16"/>
      <c r="C98" s="16"/>
      <c r="D98" s="16"/>
      <c r="E98" s="16"/>
      <c r="F98" s="16"/>
      <c r="G98" s="16"/>
      <c r="H98" s="16"/>
      <c r="I98" s="16"/>
      <c r="J98" s="16"/>
      <c r="K98" s="25" t="n">
        <v>10</v>
      </c>
      <c r="L98" s="18" t="s">
        <v>244</v>
      </c>
    </row>
    <row r="99" customFormat="false" ht="15.75" hidden="false" customHeight="true" outlineLevel="0" collapsed="false">
      <c r="A99" s="29" t="s">
        <v>245</v>
      </c>
      <c r="B99" s="29"/>
      <c r="C99" s="29"/>
      <c r="D99" s="29"/>
      <c r="E99" s="29"/>
      <c r="F99" s="29"/>
      <c r="G99" s="29"/>
      <c r="H99" s="29"/>
      <c r="I99" s="29"/>
      <c r="J99" s="29"/>
      <c r="K99" s="30" t="n">
        <f aca="false">MIN(Rates!C115,ROUND(K98*Rates!C116,2))*12</f>
        <v>0</v>
      </c>
      <c r="L99" s="31" t="s">
        <v>246</v>
      </c>
    </row>
    <row r="101" customFormat="false" ht="18" hidden="false" customHeight="true" outlineLevel="0" collapsed="false">
      <c r="A101" s="15" t="s">
        <v>247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customFormat="false" ht="15.75" hidden="false" customHeight="true" outlineLevel="0" collapsed="false">
      <c r="A102" s="16" t="s">
        <v>248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25" t="n">
        <v>0</v>
      </c>
      <c r="L102" s="18" t="s">
        <v>249</v>
      </c>
    </row>
    <row r="103" customFormat="false" ht="15.75" hidden="false" customHeight="true" outlineLevel="0" collapsed="false">
      <c r="A103" s="16" t="s">
        <v>250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25" t="n">
        <v>0</v>
      </c>
      <c r="L103" s="18" t="s">
        <v>251</v>
      </c>
    </row>
    <row r="104" customFormat="false" ht="15.75" hidden="false" customHeight="true" outlineLevel="0" collapsed="false">
      <c r="A104" s="16" t="s">
        <v>252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25" t="n">
        <v>0</v>
      </c>
      <c r="L104" s="18" t="s">
        <v>253</v>
      </c>
    </row>
    <row r="106" customFormat="false" ht="18" hidden="false" customHeight="true" outlineLevel="0" collapsed="false">
      <c r="A106" s="15" t="s">
        <v>254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customFormat="false" ht="15.75" hidden="false" customHeight="true" outlineLevel="0" collapsed="false">
      <c r="A107" s="16" t="s">
        <v>255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25" t="n">
        <v>0</v>
      </c>
      <c r="L107" s="18" t="s">
        <v>256</v>
      </c>
    </row>
    <row r="108" customFormat="false" ht="15.75" hidden="false" customHeight="true" outlineLevel="0" collapsed="false">
      <c r="A108" s="16" t="s">
        <v>257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25" t="n">
        <v>0</v>
      </c>
      <c r="L108" s="18" t="s">
        <v>258</v>
      </c>
    </row>
    <row r="110" customFormat="false" ht="18" hidden="false" customHeight="true" outlineLevel="0" collapsed="false">
      <c r="A110" s="15" t="s">
        <v>259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customFormat="false" ht="15.75" hidden="false" customHeight="true" outlineLevel="0" collapsed="false">
      <c r="A111" s="16" t="s">
        <v>260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25" t="n">
        <v>0</v>
      </c>
      <c r="L111" s="18" t="s">
        <v>261</v>
      </c>
    </row>
    <row r="112" customFormat="false" ht="15.75" hidden="false" customHeight="true" outlineLevel="0" collapsed="false">
      <c r="A112" s="16" t="s">
        <v>262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25" t="n">
        <v>0</v>
      </c>
      <c r="L112" s="18" t="s">
        <v>263</v>
      </c>
    </row>
    <row r="114" customFormat="false" ht="19.5" hidden="false" customHeight="true" outlineLevel="0" collapsed="false">
      <c r="A114" s="26" t="s">
        <v>264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7" t="n">
        <f aca="false">K80+K86+K95+K99+K102+K103+K104+K107+K108+K111+K112</f>
        <v>1216</v>
      </c>
      <c r="L114" s="28"/>
    </row>
    <row r="115" customFormat="false" ht="15.75" hidden="false" customHeight="true" outlineLevel="0" collapsed="false">
      <c r="A115" s="29" t="s">
        <v>265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30" t="n">
        <f aca="false">MAX(K114,Rates!C49)</f>
        <v>1216</v>
      </c>
      <c r="L115" s="31" t="s">
        <v>266</v>
      </c>
    </row>
    <row r="118" customFormat="false" ht="18" hidden="false" customHeight="true" outlineLevel="0" collapsed="false">
      <c r="A118" s="14" t="s">
        <v>267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customFormat="false" ht="18" hidden="false" customHeight="true" outlineLevel="0" collapsed="false">
      <c r="A119" s="15" t="s">
        <v>268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customFormat="false" ht="15.75" hidden="false" customHeight="true" outlineLevel="0" collapsed="false">
      <c r="A120" s="16" t="s">
        <v>269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25" t="n">
        <v>0</v>
      </c>
      <c r="L120" s="18" t="s">
        <v>270</v>
      </c>
    </row>
    <row r="121" customFormat="false" ht="15.75" hidden="false" customHeight="true" outlineLevel="0" collapsed="false">
      <c r="A121" s="16" t="s">
        <v>271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25" t="n">
        <v>0</v>
      </c>
      <c r="L121" s="18" t="s">
        <v>272</v>
      </c>
    </row>
    <row r="122" customFormat="false" ht="15.75" hidden="false" customHeight="true" outlineLevel="0" collapsed="false">
      <c r="A122" s="16" t="s">
        <v>273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25" t="n">
        <v>0</v>
      </c>
      <c r="L122" s="18" t="s">
        <v>274</v>
      </c>
    </row>
    <row r="123" customFormat="false" ht="15.75" hidden="false" customHeight="true" outlineLevel="0" collapsed="false">
      <c r="A123" s="29" t="s">
        <v>275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30" t="n">
        <f aca="false">MIN(K120+K121+K122,Rates!C117)</f>
        <v>0</v>
      </c>
      <c r="L123" s="31" t="s">
        <v>425</v>
      </c>
    </row>
    <row r="125" customFormat="false" ht="18" hidden="false" customHeight="true" outlineLevel="0" collapsed="false">
      <c r="A125" s="15" t="s">
        <v>277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customFormat="false" ht="15.75" hidden="false" customHeight="true" outlineLevel="0" collapsed="false">
      <c r="A126" s="16" t="s">
        <v>278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25" t="n">
        <v>0</v>
      </c>
      <c r="L126" s="18" t="s">
        <v>279</v>
      </c>
    </row>
    <row r="127" customFormat="false" ht="15.75" hidden="false" customHeight="true" outlineLevel="0" collapsed="false">
      <c r="A127" s="16" t="s">
        <v>280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25" t="n">
        <v>0</v>
      </c>
      <c r="L127" s="18" t="s">
        <v>281</v>
      </c>
    </row>
    <row r="128" customFormat="false" ht="15.75" hidden="false" customHeight="true" outlineLevel="0" collapsed="false">
      <c r="A128" s="16" t="s">
        <v>282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25" t="n">
        <v>0</v>
      </c>
      <c r="L128" s="18" t="s">
        <v>283</v>
      </c>
    </row>
    <row r="129" customFormat="false" ht="15.75" hidden="false" customHeight="true" outlineLevel="0" collapsed="false">
      <c r="A129" s="16" t="s">
        <v>284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25" t="n">
        <v>0</v>
      </c>
      <c r="L129" s="18" t="s">
        <v>285</v>
      </c>
    </row>
    <row r="131" customFormat="false" ht="18" hidden="false" customHeight="true" outlineLevel="0" collapsed="false">
      <c r="A131" s="15" t="s">
        <v>286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customFormat="false" ht="15.75" hidden="false" customHeight="true" outlineLevel="0" collapsed="false">
      <c r="A132" s="16" t="s">
        <v>287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25" t="n">
        <v>0</v>
      </c>
      <c r="L132" s="18" t="s">
        <v>426</v>
      </c>
    </row>
    <row r="133" customFormat="false" ht="15.75" hidden="false" customHeight="true" outlineLevel="0" collapsed="false">
      <c r="A133" s="29" t="s">
        <v>289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30" t="n">
        <f aca="false">MIN(K132*0.8,4800*MAX(1,K9))</f>
        <v>0</v>
      </c>
      <c r="L133" s="31" t="s">
        <v>290</v>
      </c>
    </row>
    <row r="134" customFormat="false" ht="15.75" hidden="false" customHeight="true" outlineLevel="0" collapsed="false">
      <c r="A134" s="16" t="s">
        <v>291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25" t="n">
        <v>0</v>
      </c>
      <c r="L134" s="18" t="s">
        <v>292</v>
      </c>
    </row>
    <row r="135" customFormat="false" ht="15.75" hidden="false" customHeight="true" outlineLevel="0" collapsed="false">
      <c r="A135" s="29" t="s">
        <v>293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30" t="n">
        <f aca="false">MIN(K134*0.3,5000)</f>
        <v>0</v>
      </c>
      <c r="L135" s="31"/>
    </row>
    <row r="137" customFormat="false" ht="18" hidden="false" customHeight="true" outlineLevel="0" collapsed="false">
      <c r="A137" s="15" t="s">
        <v>294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customFormat="false" ht="15.75" hidden="false" customHeight="true" outlineLevel="0" collapsed="false">
      <c r="A138" s="16" t="s">
        <v>295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25" t="n">
        <v>0</v>
      </c>
      <c r="L138" s="18" t="s">
        <v>296</v>
      </c>
    </row>
    <row r="139" customFormat="false" ht="15.75" hidden="false" customHeight="true" outlineLevel="0" collapsed="false">
      <c r="A139" s="29" t="s">
        <v>297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30" t="n">
        <f aca="false">MIN(K138,K71*0.2)</f>
        <v>0</v>
      </c>
      <c r="L139" s="31"/>
    </row>
    <row r="140" customFormat="false" ht="15.75" hidden="false" customHeight="true" outlineLevel="0" collapsed="false">
      <c r="A140" s="16" t="s">
        <v>298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25" t="n">
        <v>0</v>
      </c>
      <c r="L140" s="18" t="s">
        <v>299</v>
      </c>
    </row>
    <row r="142" customFormat="false" ht="18" hidden="false" customHeight="true" outlineLevel="0" collapsed="false">
      <c r="A142" s="15" t="s">
        <v>300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customFormat="false" ht="15.75" hidden="false" customHeight="true" outlineLevel="0" collapsed="false">
      <c r="A143" s="16" t="s">
        <v>301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25" t="n">
        <v>0</v>
      </c>
      <c r="L143" s="18" t="s">
        <v>302</v>
      </c>
    </row>
    <row r="145" customFormat="false" ht="18" hidden="false" customHeight="true" outlineLevel="0" collapsed="false">
      <c r="A145" s="15" t="s">
        <v>303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customFormat="false" ht="15.75" hidden="false" customHeight="true" outlineLevel="0" collapsed="false">
      <c r="A146" s="16" t="s">
        <v>304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25" t="n">
        <v>0</v>
      </c>
      <c r="L146" s="18" t="s">
        <v>305</v>
      </c>
    </row>
    <row r="148" customFormat="false" ht="19.5" hidden="false" customHeight="true" outlineLevel="0" collapsed="false">
      <c r="A148" s="26" t="s">
        <v>306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7" t="n">
        <f aca="false">K123+K126+K127+K128+K133+K135+K139+K140+K143+K146</f>
        <v>0</v>
      </c>
      <c r="L148" s="28"/>
    </row>
    <row r="151" customFormat="false" ht="18" hidden="false" customHeight="true" outlineLevel="0" collapsed="false">
      <c r="A151" s="14" t="s">
        <v>307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 customFormat="false" ht="18" hidden="false" customHeight="true" outlineLevel="0" collapsed="false">
      <c r="A152" s="15" t="s">
        <v>308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customFormat="false" ht="15.75" hidden="false" customHeight="true" outlineLevel="0" collapsed="false">
      <c r="A153" s="16" t="s">
        <v>309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25" t="n">
        <v>0</v>
      </c>
      <c r="L153" s="18" t="s">
        <v>310</v>
      </c>
    </row>
    <row r="154" customFormat="false" ht="15.75" hidden="false" customHeight="true" outlineLevel="0" collapsed="false">
      <c r="A154" s="16" t="s">
        <v>311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25" t="n">
        <v>0</v>
      </c>
      <c r="L154" s="18" t="s">
        <v>312</v>
      </c>
    </row>
    <row r="155" customFormat="false" ht="15.75" hidden="false" customHeight="true" outlineLevel="0" collapsed="false">
      <c r="A155" s="16" t="s">
        <v>313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25" t="n">
        <v>0</v>
      </c>
      <c r="L155" s="18" t="s">
        <v>314</v>
      </c>
    </row>
    <row r="156" customFormat="false" ht="15.75" hidden="false" customHeight="true" outlineLevel="0" collapsed="false">
      <c r="A156" s="16" t="s">
        <v>315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25" t="n">
        <v>0</v>
      </c>
      <c r="L156" s="18" t="s">
        <v>316</v>
      </c>
    </row>
    <row r="157" customFormat="false" ht="15.75" hidden="false" customHeight="true" outlineLevel="0" collapsed="false">
      <c r="A157" s="16" t="s">
        <v>317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25" t="n">
        <v>0</v>
      </c>
      <c r="L157" s="18" t="s">
        <v>318</v>
      </c>
    </row>
    <row r="158" customFormat="false" ht="15.75" hidden="false" customHeight="true" outlineLevel="0" collapsed="false">
      <c r="A158" s="29" t="s">
        <v>319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30" t="n">
        <f aca="false">K153+K154+K155+K156+K157</f>
        <v>0</v>
      </c>
      <c r="L158" s="31"/>
    </row>
    <row r="159" customFormat="false" ht="15.75" hidden="false" customHeight="true" outlineLevel="0" collapsed="false">
      <c r="A159" s="29" t="s">
        <v>320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30" t="n">
        <f aca="false">ROUND(K71*Rates!C42,0)</f>
        <v>2681</v>
      </c>
      <c r="L159" s="31" t="s">
        <v>321</v>
      </c>
    </row>
    <row r="160" customFormat="false" ht="15.75" hidden="false" customHeight="true" outlineLevel="0" collapsed="false">
      <c r="A160" s="29" t="s">
        <v>322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30" t="n">
        <f aca="false">MAX(0,K158-K159)</f>
        <v>0</v>
      </c>
      <c r="L160" s="31" t="s">
        <v>323</v>
      </c>
    </row>
    <row r="162" customFormat="false" ht="18" hidden="false" customHeight="true" outlineLevel="0" collapsed="false">
      <c r="A162" s="15" t="s">
        <v>324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customFormat="false" ht="15.75" hidden="false" customHeight="true" outlineLevel="0" collapsed="false">
      <c r="A163" s="29" t="s">
        <v>325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30" t="n">
        <f aca="false">IF(K10=0,0,IF(K10=20,384,IF(K10=30,620,IF(K10=40,860,IF(K10=50,1140,IF(K10=60,1440,IF(K10=70,1780,IF(K10=80,2120,IF(K10=90,2460,2840)))))))))</f>
        <v>0</v>
      </c>
      <c r="L163" s="31" t="s">
        <v>326</v>
      </c>
    </row>
    <row r="164" customFormat="false" ht="15.75" hidden="false" customHeight="true" outlineLevel="0" collapsed="false">
      <c r="A164" s="29" t="s">
        <v>327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30" t="n">
        <f aca="false">IF(K11=1,7400,0)</f>
        <v>0</v>
      </c>
      <c r="L164" s="31" t="s">
        <v>328</v>
      </c>
    </row>
    <row r="165" customFormat="false" ht="15.75" hidden="false" customHeight="true" outlineLevel="0" collapsed="false">
      <c r="A165" s="16" t="s">
        <v>329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25" t="n">
        <v>0</v>
      </c>
      <c r="L165" s="18" t="s">
        <v>330</v>
      </c>
    </row>
    <row r="166" customFormat="false" ht="15.75" hidden="false" customHeight="true" outlineLevel="0" collapsed="false">
      <c r="A166" s="29" t="s">
        <v>331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30" t="n">
        <f aca="false">IF(K9&gt;0,K9*Rates!C110,0)</f>
        <v>0</v>
      </c>
      <c r="L166" s="31" t="s">
        <v>332</v>
      </c>
    </row>
    <row r="168" customFormat="false" ht="19.5" hidden="false" customHeight="true" outlineLevel="0" collapsed="false">
      <c r="A168" s="26" t="s">
        <v>333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7" t="n">
        <f aca="false">K160+K163+K164+K165</f>
        <v>0</v>
      </c>
      <c r="L168" s="28"/>
    </row>
    <row r="171" customFormat="false" ht="18" hidden="false" customHeight="true" outlineLevel="0" collapsed="false">
      <c r="A171" s="14" t="s">
        <v>334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 customFormat="false" ht="15.75" hidden="false" customHeight="true" outlineLevel="0" collapsed="false">
      <c r="A172" s="29" t="s">
        <v>335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36" t="n">
        <f aca="false">IF(K9=0,Rates!C22+Rates!C22,MAX(Rates!C22-(K9-1)*Rates!C22,0.005))</f>
        <v>0.026</v>
      </c>
      <c r="L172" s="31" t="s">
        <v>336</v>
      </c>
    </row>
    <row r="173" customFormat="false" ht="15.75" hidden="false" customHeight="true" outlineLevel="0" collapsed="false">
      <c r="A173" s="29" t="s">
        <v>337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30" t="n">
        <f aca="false">ROUND(MIN(K24,Rates!C27)*Rates!C15,2)</f>
        <v>8311.69</v>
      </c>
      <c r="L173" s="31" t="s">
        <v>338</v>
      </c>
    </row>
    <row r="174" customFormat="false" ht="15.75" hidden="false" customHeight="true" outlineLevel="0" collapsed="false">
      <c r="A174" s="29" t="s">
        <v>339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30" t="n">
        <f aca="false">ROUND(MIN(K24,Rates!C27)*Rates!C18,2)</f>
        <v>7726.3</v>
      </c>
      <c r="L174" s="31" t="s">
        <v>340</v>
      </c>
    </row>
    <row r="175" customFormat="false" ht="15.75" hidden="false" customHeight="true" outlineLevel="0" collapsed="false">
      <c r="A175" s="29" t="s">
        <v>341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30" t="n">
        <f aca="false">ROUND(MIN(K24,Rates!B27)*K168,2)</f>
        <v>0</v>
      </c>
      <c r="L175" s="31" t="s">
        <v>342</v>
      </c>
    </row>
    <row r="176" customFormat="false" ht="15.75" hidden="false" customHeight="true" outlineLevel="0" collapsed="false">
      <c r="A176" s="29" t="s">
        <v>343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30" t="n">
        <f aca="false">ROUND(MIN(K24,Rates!C27)*Rates!C22,2)</f>
        <v>1161.85</v>
      </c>
      <c r="L176" s="31" t="s">
        <v>344</v>
      </c>
    </row>
    <row r="177" customFormat="false" ht="19.5" hidden="false" customHeight="true" outlineLevel="0" collapsed="false">
      <c r="A177" s="33" t="s">
        <v>345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7" t="n">
        <f aca="false">K173+K174+K175+K176</f>
        <v>17199.84</v>
      </c>
      <c r="L177" s="35" t="s">
        <v>346</v>
      </c>
    </row>
    <row r="180" customFormat="false" ht="18" hidden="false" customHeight="true" outlineLevel="0" collapsed="false">
      <c r="A180" s="14" t="s">
        <v>347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 customFormat="false" ht="15.75" hidden="false" customHeight="true" outlineLevel="0" collapsed="false">
      <c r="A181" s="16" t="s">
        <v>348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25" t="n">
        <v>0</v>
      </c>
      <c r="L181" s="18" t="s">
        <v>349</v>
      </c>
    </row>
    <row r="182" customFormat="false" ht="15.75" hidden="false" customHeight="true" outlineLevel="0" collapsed="false">
      <c r="A182" s="16" t="s">
        <v>350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25" t="n">
        <v>0</v>
      </c>
      <c r="L182" s="18" t="s">
        <v>351</v>
      </c>
    </row>
    <row r="183" customFormat="false" ht="15.75" hidden="false" customHeight="true" outlineLevel="0" collapsed="false">
      <c r="A183" s="29" t="s">
        <v>352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30" t="n">
        <f aca="false">MIN(K181+K182,K71)</f>
        <v>0</v>
      </c>
      <c r="L183" s="31" t="s">
        <v>353</v>
      </c>
    </row>
    <row r="186" customFormat="false" ht="18" hidden="false" customHeight="true" outlineLevel="0" collapsed="false">
      <c r="A186" s="14" t="s">
        <v>354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 customFormat="false" ht="15.75" hidden="false" customHeight="true" outlineLevel="0" collapsed="false">
      <c r="A187" s="29" t="s">
        <v>355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30" t="n">
        <f aca="false">ROUND(Rates!C11*MIN(K12,12)/12,0)</f>
        <v>0</v>
      </c>
      <c r="L187" s="31" t="s">
        <v>356</v>
      </c>
    </row>
    <row r="188" customFormat="false" ht="15.75" hidden="false" customHeight="true" outlineLevel="0" collapsed="false">
      <c r="A188" s="29" t="s">
        <v>357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30" t="n">
        <f aca="false">K71</f>
        <v>89373</v>
      </c>
      <c r="L188" s="31"/>
    </row>
    <row r="189" customFormat="false" ht="15.75" hidden="false" customHeight="true" outlineLevel="0" collapsed="false">
      <c r="A189" s="29" t="s">
        <v>358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30" t="n">
        <f aca="false">-K177</f>
        <v>-17199.84</v>
      </c>
      <c r="L189" s="31"/>
    </row>
    <row r="190" customFormat="false" ht="15.75" hidden="false" customHeight="true" outlineLevel="0" collapsed="false">
      <c r="A190" s="29" t="s">
        <v>359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30" t="n">
        <f aca="false">-K115</f>
        <v>-1216</v>
      </c>
      <c r="L190" s="31"/>
    </row>
    <row r="191" customFormat="false" ht="15.75" hidden="false" customHeight="true" outlineLevel="0" collapsed="false">
      <c r="A191" s="29" t="s">
        <v>360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30" t="n">
        <f aca="false">-K148</f>
        <v>-0</v>
      </c>
      <c r="L191" s="31"/>
    </row>
    <row r="192" customFormat="false" ht="15.75" hidden="false" customHeight="true" outlineLevel="0" collapsed="false">
      <c r="A192" s="29" t="s">
        <v>361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30" t="n">
        <f aca="false">-K168</f>
        <v>-0</v>
      </c>
      <c r="L192" s="31"/>
    </row>
    <row r="193" customFormat="false" ht="15.75" hidden="false" customHeight="true" outlineLevel="0" collapsed="false">
      <c r="A193" s="29" t="s">
        <v>362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30" t="n">
        <f aca="false">-K183</f>
        <v>-0</v>
      </c>
      <c r="L193" s="31"/>
    </row>
    <row r="194" customFormat="false" ht="15.75" hidden="false" customHeight="true" outlineLevel="0" collapsed="false">
      <c r="A194" s="29" t="s">
        <v>363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30" t="n">
        <f aca="false">-K187</f>
        <v>-0</v>
      </c>
      <c r="L194" s="31"/>
    </row>
    <row r="195" customFormat="false" ht="19.5" hidden="false" customHeight="true" outlineLevel="0" collapsed="false">
      <c r="A195" s="26" t="s">
        <v>364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7" t="n">
        <f aca="false">MAX(0,K188+K189+K190+K191+K192+K193+K194)</f>
        <v>70957.16</v>
      </c>
      <c r="L195" s="28" t="s">
        <v>365</v>
      </c>
    </row>
    <row r="198" customFormat="false" ht="18" hidden="false" customHeight="true" outlineLevel="0" collapsed="false">
      <c r="A198" s="14" t="s">
        <v>366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 customFormat="false" ht="15.75" hidden="false" customHeight="true" outlineLevel="0" collapsed="false">
      <c r="A199" s="38" t="s">
        <v>367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9" t="n">
        <f aca="false">IF(K195&lt;=12348,0,IF(K195&lt;=17799,(967.52*((K195-12348)/10000)+1400)*((K195-12348)/10000),IF(K195&lt;=69878,(207.03*((K195-17799)/10000)+2397)*((K195-17799)/10000)+938.24,IF(K195&lt;=277825,0.42*K195-9972.98,0.45*K195-18307.73))))</f>
        <v>19829.0272</v>
      </c>
      <c r="L199" s="40" t="s">
        <v>368</v>
      </c>
    </row>
    <row r="200" customFormat="false" ht="15.75" hidden="false" customHeight="true" outlineLevel="0" collapsed="false">
      <c r="A200" s="29" t="s">
        <v>369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32" t="n">
        <f aca="false">-K33</f>
        <v>-0</v>
      </c>
      <c r="L200" s="31" t="s">
        <v>370</v>
      </c>
    </row>
    <row r="201" customFormat="false" ht="15.75" hidden="false" customHeight="true" outlineLevel="0" collapsed="false">
      <c r="A201" s="38" t="s">
        <v>371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9" t="n">
        <f aca="false">MAX(0,ROUND(K199+K200,2))</f>
        <v>19829.03</v>
      </c>
      <c r="L201" s="40"/>
    </row>
    <row r="202" customFormat="false" ht="15.75" hidden="false" customHeight="true" outlineLevel="0" collapsed="false">
      <c r="A202" s="29" t="s">
        <v>372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32" t="n">
        <f aca="false">IF(K201&lt;=Rates!C10,0,ROUND(K201*Rates!C9,2))</f>
        <v>0</v>
      </c>
      <c r="L202" s="31" t="s">
        <v>373</v>
      </c>
    </row>
    <row r="203" customFormat="false" ht="15.75" hidden="false" customHeight="true" outlineLevel="0" collapsed="false">
      <c r="A203" s="29" t="s">
        <v>374</v>
      </c>
      <c r="B203" s="29"/>
      <c r="C203" s="29"/>
      <c r="D203" s="29"/>
      <c r="E203" s="29"/>
      <c r="F203" s="29"/>
      <c r="G203" s="29"/>
      <c r="H203" s="29"/>
      <c r="I203" s="29"/>
      <c r="J203" s="29"/>
      <c r="K203" s="32" t="n">
        <f aca="false">IF(K13=1,ROUND(K201*Rates!C11,2),0)</f>
        <v>0</v>
      </c>
      <c r="L203" s="31" t="s">
        <v>375</v>
      </c>
    </row>
    <row r="204" customFormat="false" ht="19.5" hidden="false" customHeight="true" outlineLevel="0" collapsed="false">
      <c r="A204" s="33" t="s">
        <v>376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4" t="n">
        <f aca="false">ROUND(K201+K202+K203,2)</f>
        <v>19829.03</v>
      </c>
      <c r="L204" s="35"/>
    </row>
    <row r="207" customFormat="false" ht="18" hidden="false" customHeight="true" outlineLevel="0" collapsed="false">
      <c r="A207" s="14" t="s">
        <v>377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 customFormat="false" ht="19.5" hidden="false" customHeight="true" outlineLevel="0" collapsed="false">
      <c r="A208" s="33" t="s">
        <v>378</v>
      </c>
      <c r="B208" s="33"/>
      <c r="C208" s="33"/>
      <c r="D208" s="33"/>
      <c r="E208" s="33"/>
      <c r="F208" s="33"/>
      <c r="G208" s="33"/>
      <c r="H208" s="33"/>
      <c r="I208" s="33"/>
      <c r="J208" s="33"/>
      <c r="K208" s="37" t="n">
        <f aca="false">K204+K59+K177</f>
        <v>37028.87</v>
      </c>
      <c r="L208" s="35" t="s">
        <v>379</v>
      </c>
    </row>
    <row r="209" customFormat="false" ht="19.5" hidden="false" customHeight="true" outlineLevel="0" collapsed="false">
      <c r="A209" s="41" t="s">
        <v>380</v>
      </c>
      <c r="B209" s="41"/>
      <c r="C209" s="41"/>
      <c r="D209" s="41"/>
      <c r="E209" s="41"/>
      <c r="F209" s="41"/>
      <c r="G209" s="41"/>
      <c r="H209" s="41"/>
      <c r="I209" s="41"/>
      <c r="J209" s="41"/>
      <c r="K209" s="42" t="n">
        <f aca="false">K24-K204-K177</f>
        <v>52344.13</v>
      </c>
      <c r="L209" s="43" t="s">
        <v>381</v>
      </c>
    </row>
    <row r="212" customFormat="false" ht="18" hidden="false" customHeight="true" outlineLevel="0" collapsed="false">
      <c r="A212" s="14" t="s">
        <v>382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 customFormat="false" ht="19.5" hidden="false" customHeight="true" outlineLevel="0" collapsed="false">
      <c r="A213" s="44" t="s">
        <v>383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</row>
    <row r="214" customFormat="false" ht="15.75" hidden="false" customHeight="true" outlineLevel="0" collapsed="false">
      <c r="A214" s="16" t="s">
        <v>384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25" t="n">
        <v>0</v>
      </c>
      <c r="L214" s="18" t="s">
        <v>385</v>
      </c>
    </row>
    <row r="215" customFormat="false" ht="15.75" hidden="false" customHeight="true" outlineLevel="0" collapsed="false">
      <c r="A215" s="16" t="s">
        <v>386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25" t="n">
        <v>0</v>
      </c>
      <c r="L215" s="18" t="s">
        <v>387</v>
      </c>
    </row>
    <row r="216" customFormat="false" ht="15.75" hidden="false" customHeight="true" outlineLevel="0" collapsed="false">
      <c r="A216" s="16" t="s">
        <v>388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25" t="n">
        <v>0</v>
      </c>
      <c r="L216" s="18" t="s">
        <v>389</v>
      </c>
    </row>
    <row r="217" customFormat="false" ht="15.75" hidden="false" customHeight="true" outlineLevel="0" collapsed="false">
      <c r="A217" s="16" t="s">
        <v>390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25" t="n">
        <v>0</v>
      </c>
      <c r="L217" s="18" t="s">
        <v>391</v>
      </c>
    </row>
    <row r="218" customFormat="false" ht="19.5" hidden="false" customHeight="true" outlineLevel="0" collapsed="false">
      <c r="A218" s="26" t="s">
        <v>392</v>
      </c>
      <c r="B218" s="26"/>
      <c r="C218" s="26"/>
      <c r="D218" s="26"/>
      <c r="E218" s="26"/>
      <c r="F218" s="26"/>
      <c r="G218" s="26"/>
      <c r="H218" s="26"/>
      <c r="I218" s="26"/>
      <c r="J218" s="26"/>
      <c r="K218" s="27" t="n">
        <f aca="false">K214+K215+K216+K217</f>
        <v>0</v>
      </c>
      <c r="L218" s="28" t="s">
        <v>393</v>
      </c>
    </row>
    <row r="220" customFormat="false" ht="19.5" hidden="false" customHeight="true" outlineLevel="0" collapsed="false">
      <c r="A220" s="41" t="s">
        <v>394</v>
      </c>
      <c r="B220" s="41"/>
      <c r="C220" s="41"/>
      <c r="D220" s="41"/>
      <c r="E220" s="41"/>
      <c r="F220" s="41"/>
      <c r="G220" s="41"/>
      <c r="H220" s="41"/>
      <c r="I220" s="41"/>
      <c r="J220" s="41"/>
      <c r="K220" s="45" t="n">
        <f aca="false">ROUND(K218-K204-K59,2)</f>
        <v>-19829.03</v>
      </c>
      <c r="L220" s="43" t="s">
        <v>395</v>
      </c>
    </row>
    <row r="223" customFormat="false" ht="18" hidden="false" customHeight="true" outlineLevel="0" collapsed="false">
      <c r="A223" s="14" t="s">
        <v>396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customFormat="false" ht="15.75" hidden="false" customHeight="true" outlineLevel="0" collapsed="false">
      <c r="A224" s="46" t="s">
        <v>397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7" t="n">
        <f aca="false">K24</f>
        <v>89373</v>
      </c>
      <c r="L224" s="48"/>
    </row>
    <row r="225" customFormat="false" ht="15.75" hidden="false" customHeight="true" outlineLevel="0" collapsed="false">
      <c r="A225" s="46" t="s">
        <v>398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7" t="n">
        <f aca="false">K71</f>
        <v>89373</v>
      </c>
      <c r="L225" s="48"/>
    </row>
    <row r="226" customFormat="false" ht="15.75" hidden="false" customHeight="true" outlineLevel="0" collapsed="false">
      <c r="A226" s="46" t="s">
        <v>399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7" t="n">
        <f aca="false">K195</f>
        <v>70957.16</v>
      </c>
      <c r="L226" s="48"/>
    </row>
    <row r="227" customFormat="false" ht="15.75" hidden="false" customHeight="true" outlineLevel="0" collapsed="false">
      <c r="A227" s="46" t="s">
        <v>400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9" t="n">
        <f aca="false">K204</f>
        <v>19829.03</v>
      </c>
      <c r="L227" s="48"/>
    </row>
    <row r="228" customFormat="false" ht="15.75" hidden="false" customHeight="true" outlineLevel="0" collapsed="false">
      <c r="A228" s="46" t="s">
        <v>401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50" t="n">
        <f aca="false">IFERROR(K204/K24,0)</f>
        <v>0.221868237610912</v>
      </c>
      <c r="L228" s="48"/>
    </row>
    <row r="229" customFormat="false" ht="15.75" hidden="false" customHeight="true" outlineLevel="0" collapsed="false">
      <c r="A229" s="46" t="s">
        <v>402</v>
      </c>
      <c r="B229" s="46"/>
      <c r="C229" s="46"/>
      <c r="D229" s="46"/>
      <c r="E229" s="46"/>
      <c r="F229" s="46"/>
      <c r="G229" s="46"/>
      <c r="H229" s="46"/>
      <c r="I229" s="46"/>
      <c r="J229" s="46"/>
      <c r="K229" s="50" t="n">
        <f aca="false">IFERROR(K204/K71,0)</f>
        <v>0.221868237610912</v>
      </c>
      <c r="L229" s="48"/>
    </row>
    <row r="230" customFormat="false" ht="15.75" hidden="false" customHeight="true" outlineLevel="0" collapsed="false">
      <c r="A230" s="46" t="s">
        <v>403</v>
      </c>
      <c r="B230" s="46"/>
      <c r="C230" s="46"/>
      <c r="D230" s="46"/>
      <c r="E230" s="46"/>
      <c r="F230" s="46"/>
      <c r="G230" s="46"/>
      <c r="H230" s="46"/>
      <c r="I230" s="46"/>
      <c r="J230" s="46"/>
      <c r="K230" s="47" t="n">
        <f aca="false">K177</f>
        <v>17199.84</v>
      </c>
      <c r="L230" s="48"/>
    </row>
    <row r="231" customFormat="false" ht="15.75" hidden="false" customHeight="true" outlineLevel="0" collapsed="false">
      <c r="A231" s="46" t="s">
        <v>404</v>
      </c>
      <c r="B231" s="46"/>
      <c r="C231" s="46"/>
      <c r="D231" s="46"/>
      <c r="E231" s="46"/>
      <c r="F231" s="46"/>
      <c r="G231" s="46"/>
      <c r="H231" s="46"/>
      <c r="I231" s="46"/>
      <c r="J231" s="46"/>
      <c r="K231" s="49" t="n">
        <f aca="false">K59</f>
        <v>0</v>
      </c>
      <c r="L231" s="48"/>
    </row>
    <row r="232" customFormat="false" ht="15.75" hidden="false" customHeight="true" outlineLevel="0" collapsed="false">
      <c r="A232" s="46" t="s">
        <v>405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7" t="n">
        <f aca="false">K208</f>
        <v>37028.87</v>
      </c>
      <c r="L232" s="48"/>
    </row>
    <row r="233" customFormat="false" ht="15.75" hidden="false" customHeight="true" outlineLevel="0" collapsed="false">
      <c r="A233" s="46" t="s">
        <v>406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50" t="n">
        <f aca="false">IFERROR(K208/K24,0)</f>
        <v>0.41431830642364</v>
      </c>
      <c r="L233" s="48"/>
    </row>
    <row r="234" customFormat="false" ht="15.75" hidden="false" customHeight="true" outlineLevel="0" collapsed="false">
      <c r="A234" s="46" t="s">
        <v>407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7" t="n">
        <f aca="false">K209</f>
        <v>52344.13</v>
      </c>
      <c r="L234" s="48"/>
    </row>
    <row r="235" customFormat="false" ht="15.75" hidden="false" customHeight="true" outlineLevel="0" collapsed="false">
      <c r="A235" s="46" t="s">
        <v>408</v>
      </c>
      <c r="B235" s="46"/>
      <c r="C235" s="46"/>
      <c r="D235" s="46"/>
      <c r="E235" s="46"/>
      <c r="F235" s="46"/>
      <c r="G235" s="46"/>
      <c r="H235" s="46"/>
      <c r="I235" s="46"/>
      <c r="J235" s="46"/>
      <c r="K235" s="51" t="str">
        <f aca="false">IF(K195&lt;=(Rates!C11),"0% — below Grundfreibetrag",IF(K195&lt;=69878,"14–42% progressive zone",IF(K195&lt;=277825,"42% flat rate zone","45% Reichensteuer")))</f>
        <v>42% flat rate zone</v>
      </c>
      <c r="L235" s="48"/>
    </row>
    <row r="236" customFormat="false" ht="15.75" hidden="false" customHeight="true" outlineLevel="0" collapsed="false">
      <c r="A236" s="46" t="s">
        <v>409</v>
      </c>
      <c r="B236" s="46"/>
      <c r="C236" s="46"/>
      <c r="D236" s="46"/>
      <c r="E236" s="46"/>
      <c r="F236" s="46"/>
      <c r="G236" s="46"/>
      <c r="H236" s="46"/>
      <c r="I236" s="46"/>
      <c r="J236" s="46"/>
      <c r="K236" s="51" t="str">
        <f aca="false">IF(K202&gt;0,"YES — Soli due","NO — exempt")</f>
        <v>NO — exempt</v>
      </c>
      <c r="L236" s="48"/>
    </row>
    <row r="237" customFormat="false" ht="15.75" hidden="false" customHeight="true" outlineLevel="0" collapsed="false">
      <c r="A237" s="46" t="s">
        <v>410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9" t="n">
        <f aca="false">K220</f>
        <v>-19829.03</v>
      </c>
      <c r="L237" s="48"/>
    </row>
    <row r="239" customFormat="false" ht="18" hidden="false" customHeight="true" outlineLevel="0" collapsed="false">
      <c r="A239" s="15" t="s">
        <v>427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customFormat="false" ht="15.75" hidden="false" customHeight="true" outlineLevel="0" collapsed="false">
      <c r="A240" s="52" t="s">
        <v>412</v>
      </c>
      <c r="B240" s="52"/>
      <c r="C240" s="52"/>
      <c r="D240" s="52"/>
      <c r="E240" s="52"/>
      <c r="F240" s="52"/>
      <c r="G240" s="52"/>
      <c r="H240" s="52"/>
      <c r="I240" s="52"/>
      <c r="J240" s="52"/>
      <c r="K240" s="53" t="s">
        <v>428</v>
      </c>
      <c r="L240" s="53"/>
    </row>
    <row r="241" customFormat="false" ht="15.75" hidden="false" customHeight="true" outlineLevel="0" collapsed="false">
      <c r="A241" s="52" t="s">
        <v>414</v>
      </c>
      <c r="B241" s="52"/>
      <c r="C241" s="52"/>
      <c r="D241" s="52"/>
      <c r="E241" s="52"/>
      <c r="F241" s="52"/>
      <c r="G241" s="52"/>
      <c r="H241" s="52"/>
      <c r="I241" s="52"/>
      <c r="J241" s="52"/>
      <c r="K241" s="53" t="s">
        <v>429</v>
      </c>
      <c r="L241" s="53"/>
    </row>
    <row r="242" customFormat="false" ht="15.75" hidden="false" customHeight="true" outlineLevel="0" collapsed="false">
      <c r="A242" s="52" t="s">
        <v>416</v>
      </c>
      <c r="B242" s="52"/>
      <c r="C242" s="52"/>
      <c r="D242" s="52"/>
      <c r="E242" s="52"/>
      <c r="F242" s="52"/>
      <c r="G242" s="52"/>
      <c r="H242" s="52"/>
      <c r="I242" s="52"/>
      <c r="J242" s="52"/>
      <c r="K242" s="53" t="s">
        <v>417</v>
      </c>
      <c r="L242" s="53"/>
    </row>
    <row r="243" customFormat="false" ht="15.75" hidden="false" customHeight="true" outlineLevel="0" collapsed="false">
      <c r="A243" s="52" t="s">
        <v>418</v>
      </c>
      <c r="B243" s="52"/>
      <c r="C243" s="52"/>
      <c r="D243" s="52"/>
      <c r="E243" s="52"/>
      <c r="F243" s="52"/>
      <c r="G243" s="52"/>
      <c r="H243" s="52"/>
      <c r="I243" s="52"/>
      <c r="J243" s="52"/>
      <c r="K243" s="53" t="s">
        <v>419</v>
      </c>
      <c r="L243" s="53"/>
    </row>
    <row r="244" customFormat="false" ht="15.75" hidden="false" customHeight="true" outlineLevel="0" collapsed="false">
      <c r="A244" s="52" t="s">
        <v>420</v>
      </c>
      <c r="B244" s="52"/>
      <c r="C244" s="52"/>
      <c r="D244" s="52"/>
      <c r="E244" s="52"/>
      <c r="F244" s="52"/>
      <c r="G244" s="52"/>
      <c r="H244" s="52"/>
      <c r="I244" s="52"/>
      <c r="J244" s="52"/>
      <c r="K244" s="53" t="s">
        <v>430</v>
      </c>
      <c r="L244" s="53"/>
    </row>
  </sheetData>
  <mergeCells count="197">
    <mergeCell ref="A1:L1"/>
    <mergeCell ref="A2:L2"/>
    <mergeCell ref="A4:L4"/>
    <mergeCell ref="A6:L6"/>
    <mergeCell ref="A7:J7"/>
    <mergeCell ref="A8:J8"/>
    <mergeCell ref="A9:J9"/>
    <mergeCell ref="A10:J10"/>
    <mergeCell ref="A11:J11"/>
    <mergeCell ref="A12:J12"/>
    <mergeCell ref="A15:L15"/>
    <mergeCell ref="A16:L16"/>
    <mergeCell ref="A17:J17"/>
    <mergeCell ref="A23:J23"/>
    <mergeCell ref="A24:J24"/>
    <mergeCell ref="A26:L26"/>
    <mergeCell ref="A27:J27"/>
    <mergeCell ref="A28:J28"/>
    <mergeCell ref="A29:J29"/>
    <mergeCell ref="A31:L31"/>
    <mergeCell ref="A32:J32"/>
    <mergeCell ref="A33:J33"/>
    <mergeCell ref="A35:L35"/>
    <mergeCell ref="A36:J36"/>
    <mergeCell ref="A37:J37"/>
    <mergeCell ref="A38:J38"/>
    <mergeCell ref="A39:J39"/>
    <mergeCell ref="A40:J40"/>
    <mergeCell ref="A41:J41"/>
    <mergeCell ref="A42:J42"/>
    <mergeCell ref="A44:L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  <mergeCell ref="A58:J58"/>
    <mergeCell ref="A59:J59"/>
    <mergeCell ref="A60:J60"/>
    <mergeCell ref="A62:L62"/>
    <mergeCell ref="A63:J63"/>
    <mergeCell ref="A64:J64"/>
    <mergeCell ref="A65:J65"/>
    <mergeCell ref="A66:J66"/>
    <mergeCell ref="A67:J67"/>
    <mergeCell ref="A68:J68"/>
    <mergeCell ref="A69:J69"/>
    <mergeCell ref="A71:J71"/>
    <mergeCell ref="A74:L74"/>
    <mergeCell ref="A75:L75"/>
    <mergeCell ref="A76:J76"/>
    <mergeCell ref="A77:J77"/>
    <mergeCell ref="A78:J78"/>
    <mergeCell ref="A79:J79"/>
    <mergeCell ref="A80:J80"/>
    <mergeCell ref="A82:L82"/>
    <mergeCell ref="A83:J83"/>
    <mergeCell ref="A84:J84"/>
    <mergeCell ref="A85:J85"/>
    <mergeCell ref="A86:J86"/>
    <mergeCell ref="A88:L88"/>
    <mergeCell ref="A89:J89"/>
    <mergeCell ref="A90:J90"/>
    <mergeCell ref="A91:J91"/>
    <mergeCell ref="A92:J92"/>
    <mergeCell ref="A93:J93"/>
    <mergeCell ref="A94:J94"/>
    <mergeCell ref="A95:J95"/>
    <mergeCell ref="A97:L97"/>
    <mergeCell ref="A98:J98"/>
    <mergeCell ref="A99:J99"/>
    <mergeCell ref="A101:L101"/>
    <mergeCell ref="A102:J102"/>
    <mergeCell ref="A103:J103"/>
    <mergeCell ref="A104:J104"/>
    <mergeCell ref="A106:L106"/>
    <mergeCell ref="A107:J107"/>
    <mergeCell ref="A108:J108"/>
    <mergeCell ref="A110:L110"/>
    <mergeCell ref="A111:J111"/>
    <mergeCell ref="A112:J112"/>
    <mergeCell ref="A114:J114"/>
    <mergeCell ref="A115:J115"/>
    <mergeCell ref="A118:L118"/>
    <mergeCell ref="A119:L119"/>
    <mergeCell ref="A120:J120"/>
    <mergeCell ref="A121:J121"/>
    <mergeCell ref="A122:J122"/>
    <mergeCell ref="A123:J123"/>
    <mergeCell ref="A125:L125"/>
    <mergeCell ref="A126:J126"/>
    <mergeCell ref="A127:J127"/>
    <mergeCell ref="A128:J128"/>
    <mergeCell ref="A129:J129"/>
    <mergeCell ref="A131:L131"/>
    <mergeCell ref="A132:J132"/>
    <mergeCell ref="A133:J133"/>
    <mergeCell ref="A134:J134"/>
    <mergeCell ref="A135:J135"/>
    <mergeCell ref="A137:L137"/>
    <mergeCell ref="A138:J138"/>
    <mergeCell ref="A139:J139"/>
    <mergeCell ref="A140:J140"/>
    <mergeCell ref="A142:L142"/>
    <mergeCell ref="A143:J143"/>
    <mergeCell ref="A145:L145"/>
    <mergeCell ref="A146:J146"/>
    <mergeCell ref="A148:J148"/>
    <mergeCell ref="A151:L151"/>
    <mergeCell ref="A152:L152"/>
    <mergeCell ref="A153:J153"/>
    <mergeCell ref="A154:J154"/>
    <mergeCell ref="A155:J155"/>
    <mergeCell ref="A156:J156"/>
    <mergeCell ref="A157:J157"/>
    <mergeCell ref="A158:J158"/>
    <mergeCell ref="A159:J159"/>
    <mergeCell ref="A160:J160"/>
    <mergeCell ref="A162:L162"/>
    <mergeCell ref="A163:J163"/>
    <mergeCell ref="A164:J164"/>
    <mergeCell ref="A165:J165"/>
    <mergeCell ref="A166:J166"/>
    <mergeCell ref="A168:J168"/>
    <mergeCell ref="A171:L171"/>
    <mergeCell ref="A172:J172"/>
    <mergeCell ref="A173:J173"/>
    <mergeCell ref="A174:J174"/>
    <mergeCell ref="A175:J175"/>
    <mergeCell ref="A176:J176"/>
    <mergeCell ref="A177:J177"/>
    <mergeCell ref="A180:L180"/>
    <mergeCell ref="A181:J181"/>
    <mergeCell ref="A182:J182"/>
    <mergeCell ref="A183:J183"/>
    <mergeCell ref="A186:L186"/>
    <mergeCell ref="A187:J187"/>
    <mergeCell ref="A188:J188"/>
    <mergeCell ref="A189:J189"/>
    <mergeCell ref="A190:J190"/>
    <mergeCell ref="A191:J191"/>
    <mergeCell ref="A192:J192"/>
    <mergeCell ref="A193:J193"/>
    <mergeCell ref="A194:J194"/>
    <mergeCell ref="A195:J195"/>
    <mergeCell ref="A198:L198"/>
    <mergeCell ref="A199:J199"/>
    <mergeCell ref="A200:J200"/>
    <mergeCell ref="A201:J201"/>
    <mergeCell ref="A202:J202"/>
    <mergeCell ref="A203:J203"/>
    <mergeCell ref="A204:J204"/>
    <mergeCell ref="A207:L207"/>
    <mergeCell ref="A208:J208"/>
    <mergeCell ref="A209:J209"/>
    <mergeCell ref="A212:L212"/>
    <mergeCell ref="A213:L213"/>
    <mergeCell ref="A214:J214"/>
    <mergeCell ref="A215:J215"/>
    <mergeCell ref="A216:J216"/>
    <mergeCell ref="A217:J217"/>
    <mergeCell ref="A218:J218"/>
    <mergeCell ref="A220:J220"/>
    <mergeCell ref="A223:L223"/>
    <mergeCell ref="A224:J224"/>
    <mergeCell ref="A225:J225"/>
    <mergeCell ref="A226:J226"/>
    <mergeCell ref="A227:J227"/>
    <mergeCell ref="A228:J228"/>
    <mergeCell ref="A229:J229"/>
    <mergeCell ref="A230:J230"/>
    <mergeCell ref="A231:J231"/>
    <mergeCell ref="A232:J232"/>
    <mergeCell ref="A233:J233"/>
    <mergeCell ref="A234:J234"/>
    <mergeCell ref="A235:J235"/>
    <mergeCell ref="A236:J236"/>
    <mergeCell ref="A237:J237"/>
    <mergeCell ref="A239:L239"/>
    <mergeCell ref="A240:J240"/>
    <mergeCell ref="K240:L240"/>
    <mergeCell ref="A241:J241"/>
    <mergeCell ref="K241:L241"/>
    <mergeCell ref="A242:J242"/>
    <mergeCell ref="K242:L242"/>
    <mergeCell ref="A243:J243"/>
    <mergeCell ref="K243:L243"/>
    <mergeCell ref="A244:J244"/>
    <mergeCell ref="K244:L2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54" t="s">
        <v>431</v>
      </c>
      <c r="B1" s="54"/>
    </row>
    <row r="2" customFormat="false" ht="7.5" hidden="false" customHeight="true" outlineLevel="0" collapsed="false">
      <c r="A2" s="55" t="s">
        <v>432</v>
      </c>
      <c r="B2" s="55"/>
    </row>
    <row r="3" customFormat="false" ht="15.75" hidden="false" customHeight="true" outlineLevel="0" collapsed="false">
      <c r="A3" s="56" t="s">
        <v>433</v>
      </c>
      <c r="B3" s="57" t="s">
        <v>434</v>
      </c>
    </row>
    <row r="4" customFormat="false" ht="15.75" hidden="false" customHeight="true" outlineLevel="0" collapsed="false">
      <c r="A4" s="56" t="s">
        <v>435</v>
      </c>
      <c r="B4" s="57" t="s">
        <v>436</v>
      </c>
    </row>
    <row r="5" customFormat="false" ht="15.75" hidden="false" customHeight="true" outlineLevel="0" collapsed="false">
      <c r="A5" s="56" t="s">
        <v>437</v>
      </c>
      <c r="B5" s="57" t="s">
        <v>438</v>
      </c>
    </row>
    <row r="6" customFormat="false" ht="7.5" hidden="false" customHeight="true" outlineLevel="0" collapsed="false">
      <c r="A6" s="58"/>
      <c r="B6" s="58"/>
    </row>
    <row r="7" customFormat="false" ht="7.5" hidden="false" customHeight="true" outlineLevel="0" collapsed="false">
      <c r="A7" s="55" t="s">
        <v>439</v>
      </c>
      <c r="B7" s="55"/>
    </row>
    <row r="8" customFormat="false" ht="15.75" hidden="false" customHeight="true" outlineLevel="0" collapsed="false">
      <c r="A8" s="56" t="s">
        <v>440</v>
      </c>
      <c r="B8" s="57" t="s">
        <v>441</v>
      </c>
    </row>
    <row r="9" customFormat="false" ht="15.75" hidden="false" customHeight="true" outlineLevel="0" collapsed="false">
      <c r="A9" s="56" t="s">
        <v>442</v>
      </c>
      <c r="B9" s="57" t="s">
        <v>443</v>
      </c>
    </row>
    <row r="10" customFormat="false" ht="15.75" hidden="false" customHeight="true" outlineLevel="0" collapsed="false">
      <c r="A10" s="56" t="s">
        <v>444</v>
      </c>
      <c r="B10" s="57" t="s">
        <v>445</v>
      </c>
    </row>
    <row r="11" customFormat="false" ht="15.75" hidden="false" customHeight="true" outlineLevel="0" collapsed="false">
      <c r="A11" s="56" t="s">
        <v>446</v>
      </c>
      <c r="B11" s="57" t="s">
        <v>447</v>
      </c>
    </row>
    <row r="12" customFormat="false" ht="15.75" hidden="false" customHeight="true" outlineLevel="0" collapsed="false">
      <c r="A12" s="56" t="s">
        <v>448</v>
      </c>
      <c r="B12" s="57" t="s">
        <v>449</v>
      </c>
    </row>
    <row r="13" customFormat="false" ht="15.75" hidden="false" customHeight="true" outlineLevel="0" collapsed="false">
      <c r="A13" s="56" t="s">
        <v>450</v>
      </c>
      <c r="B13" s="57" t="s">
        <v>451</v>
      </c>
    </row>
    <row r="14" customFormat="false" ht="15.75" hidden="false" customHeight="true" outlineLevel="0" collapsed="false">
      <c r="A14" s="56" t="s">
        <v>452</v>
      </c>
      <c r="B14" s="57" t="s">
        <v>453</v>
      </c>
    </row>
    <row r="15" customFormat="false" ht="15.75" hidden="false" customHeight="true" outlineLevel="0" collapsed="false">
      <c r="A15" s="56" t="s">
        <v>454</v>
      </c>
      <c r="B15" s="57" t="s">
        <v>455</v>
      </c>
    </row>
    <row r="16" customFormat="false" ht="15.75" hidden="false" customHeight="true" outlineLevel="0" collapsed="false">
      <c r="A16" s="56" t="s">
        <v>456</v>
      </c>
      <c r="B16" s="57" t="s">
        <v>457</v>
      </c>
    </row>
    <row r="17" customFormat="false" ht="15.75" hidden="false" customHeight="true" outlineLevel="0" collapsed="false">
      <c r="A17" s="56" t="s">
        <v>458</v>
      </c>
      <c r="B17" s="57" t="s">
        <v>459</v>
      </c>
    </row>
    <row r="18" customFormat="false" ht="15.75" hidden="false" customHeight="true" outlineLevel="0" collapsed="false">
      <c r="A18" s="56" t="s">
        <v>460</v>
      </c>
      <c r="B18" s="57" t="s">
        <v>461</v>
      </c>
    </row>
    <row r="19" customFormat="false" ht="7.5" hidden="false" customHeight="true" outlineLevel="0" collapsed="false">
      <c r="A19" s="58"/>
      <c r="B19" s="58"/>
    </row>
    <row r="20" customFormat="false" ht="7.5" hidden="false" customHeight="true" outlineLevel="0" collapsed="false">
      <c r="A20" s="55" t="s">
        <v>462</v>
      </c>
      <c r="B20" s="55"/>
    </row>
    <row r="21" customFormat="false" ht="15.75" hidden="false" customHeight="true" outlineLevel="0" collapsed="false">
      <c r="A21" s="56" t="s">
        <v>463</v>
      </c>
      <c r="B21" s="57" t="s">
        <v>464</v>
      </c>
    </row>
    <row r="22" customFormat="false" ht="15.75" hidden="false" customHeight="true" outlineLevel="0" collapsed="false">
      <c r="A22" s="56" t="s">
        <v>465</v>
      </c>
      <c r="B22" s="57" t="s">
        <v>466</v>
      </c>
    </row>
    <row r="23" customFormat="false" ht="15.75" hidden="false" customHeight="true" outlineLevel="0" collapsed="false">
      <c r="A23" s="56" t="s">
        <v>467</v>
      </c>
      <c r="B23" s="57" t="s">
        <v>468</v>
      </c>
    </row>
    <row r="24" customFormat="false" ht="15.75" hidden="false" customHeight="true" outlineLevel="0" collapsed="false">
      <c r="A24" s="56" t="s">
        <v>469</v>
      </c>
      <c r="B24" s="57" t="s">
        <v>470</v>
      </c>
    </row>
    <row r="25" customFormat="false" ht="15.75" hidden="false" customHeight="true" outlineLevel="0" collapsed="false">
      <c r="A25" s="56" t="s">
        <v>471</v>
      </c>
      <c r="B25" s="57" t="s">
        <v>472</v>
      </c>
    </row>
    <row r="26" customFormat="false" ht="15.75" hidden="false" customHeight="true" outlineLevel="0" collapsed="false">
      <c r="A26" s="56" t="s">
        <v>473</v>
      </c>
      <c r="B26" s="57" t="s">
        <v>474</v>
      </c>
    </row>
    <row r="27" customFormat="false" ht="7.5" hidden="false" customHeight="true" outlineLevel="0" collapsed="false">
      <c r="A27" s="58"/>
      <c r="B27" s="58"/>
    </row>
    <row r="28" customFormat="false" ht="7.5" hidden="false" customHeight="true" outlineLevel="0" collapsed="false">
      <c r="A28" s="55" t="s">
        <v>475</v>
      </c>
      <c r="B28" s="55"/>
    </row>
    <row r="29" customFormat="false" ht="15.75" hidden="false" customHeight="true" outlineLevel="0" collapsed="false">
      <c r="A29" s="56" t="s">
        <v>476</v>
      </c>
      <c r="B29" s="57" t="s">
        <v>477</v>
      </c>
    </row>
    <row r="30" customFormat="false" ht="15.75" hidden="false" customHeight="true" outlineLevel="0" collapsed="false">
      <c r="A30" s="56" t="s">
        <v>478</v>
      </c>
      <c r="B30" s="57" t="s">
        <v>479</v>
      </c>
    </row>
    <row r="31" customFormat="false" ht="15.75" hidden="false" customHeight="true" outlineLevel="0" collapsed="false">
      <c r="A31" s="56" t="s">
        <v>480</v>
      </c>
      <c r="B31" s="57" t="s">
        <v>481</v>
      </c>
    </row>
    <row r="32" customFormat="false" ht="15.75" hidden="false" customHeight="true" outlineLevel="0" collapsed="false">
      <c r="A32" s="56" t="s">
        <v>482</v>
      </c>
      <c r="B32" s="57" t="s">
        <v>483</v>
      </c>
    </row>
    <row r="33" customFormat="false" ht="15.75" hidden="false" customHeight="true" outlineLevel="0" collapsed="false">
      <c r="A33" s="56" t="s">
        <v>484</v>
      </c>
      <c r="B33" s="57" t="s">
        <v>485</v>
      </c>
    </row>
    <row r="34" customFormat="false" ht="7.5" hidden="false" customHeight="true" outlineLevel="0" collapsed="false">
      <c r="A34" s="58"/>
      <c r="B34" s="58"/>
    </row>
    <row r="35" customFormat="false" ht="7.5" hidden="false" customHeight="true" outlineLevel="0" collapsed="false">
      <c r="A35" s="55" t="s">
        <v>486</v>
      </c>
      <c r="B35" s="55"/>
    </row>
    <row r="36" customFormat="false" ht="15.75" hidden="false" customHeight="true" outlineLevel="0" collapsed="false">
      <c r="A36" s="56" t="s">
        <v>487</v>
      </c>
      <c r="B36" s="57" t="s">
        <v>488</v>
      </c>
    </row>
    <row r="37" customFormat="false" ht="15.75" hidden="false" customHeight="true" outlineLevel="0" collapsed="false">
      <c r="A37" s="56" t="s">
        <v>489</v>
      </c>
      <c r="B37" s="57" t="s">
        <v>490</v>
      </c>
    </row>
    <row r="38" customFormat="false" ht="15.75" hidden="false" customHeight="true" outlineLevel="0" collapsed="false">
      <c r="A38" s="56" t="s">
        <v>491</v>
      </c>
      <c r="B38" s="57" t="s">
        <v>492</v>
      </c>
    </row>
    <row r="39" customFormat="false" ht="15.75" hidden="false" customHeight="true" outlineLevel="0" collapsed="false">
      <c r="A39" s="56" t="s">
        <v>493</v>
      </c>
      <c r="B39" s="57" t="s">
        <v>494</v>
      </c>
    </row>
    <row r="40" customFormat="false" ht="15.75" hidden="false" customHeight="true" outlineLevel="0" collapsed="false">
      <c r="A40" s="56" t="s">
        <v>495</v>
      </c>
      <c r="B40" s="57" t="s">
        <v>496</v>
      </c>
    </row>
    <row r="41" customFormat="false" ht="15.75" hidden="false" customHeight="true" outlineLevel="0" collapsed="false">
      <c r="A41" s="56" t="s">
        <v>497</v>
      </c>
      <c r="B41" s="57" t="s">
        <v>498</v>
      </c>
    </row>
  </sheetData>
  <mergeCells count="6">
    <mergeCell ref="A1:B1"/>
    <mergeCell ref="A2:B2"/>
    <mergeCell ref="A7:B7"/>
    <mergeCell ref="A20:B20"/>
    <mergeCell ref="A28:B28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2026-04-12T06:05:19Z</dcterms:created>
  <dc:creator>openpyxl</dc:creator>
  <dc:description/>
  <dc:language>en-US</dc:language>
  <cp:lastModifiedBy/>
  <dcterms:modified xsi:type="dcterms:W3CDTF">2026-04-12T15:02:20Z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